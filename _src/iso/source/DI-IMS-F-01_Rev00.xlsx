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양식목록" sheetId="1" state="visible" r:id="rId1"/>
    <sheet xmlns:r="http://schemas.openxmlformats.org/officeDocument/2006/relationships" name="문서관리" sheetId="2" state="visible" r:id="rId2"/>
    <sheet xmlns:r="http://schemas.openxmlformats.org/officeDocument/2006/relationships" name="작성안내" sheetId="3" state="visible" r:id="rId3"/>
    <sheet xmlns:r="http://schemas.openxmlformats.org/officeDocument/2006/relationships" name="PF-00" sheetId="4" state="visible" r:id="rId4"/>
    <sheet xmlns:r="http://schemas.openxmlformats.org/officeDocument/2006/relationships" name="QF-02" sheetId="5" state="visible" r:id="rId5"/>
    <sheet xmlns:r="http://schemas.openxmlformats.org/officeDocument/2006/relationships" name="QF-03" sheetId="6" state="visible" r:id="rId6"/>
    <sheet xmlns:r="http://schemas.openxmlformats.org/officeDocument/2006/relationships" name="QF-04" sheetId="7" state="visible" r:id="rId7"/>
    <sheet xmlns:r="http://schemas.openxmlformats.org/officeDocument/2006/relationships" name="QF-05" sheetId="8" state="visible" r:id="rId8"/>
    <sheet xmlns:r="http://schemas.openxmlformats.org/officeDocument/2006/relationships" name="QF-06" sheetId="9" state="visible" r:id="rId9"/>
    <sheet xmlns:r="http://schemas.openxmlformats.org/officeDocument/2006/relationships" name="QF-06-1" sheetId="10" state="visible" r:id="rId10"/>
    <sheet xmlns:r="http://schemas.openxmlformats.org/officeDocument/2006/relationships" name="QF-07" sheetId="11" state="visible" r:id="rId11"/>
    <sheet xmlns:r="http://schemas.openxmlformats.org/officeDocument/2006/relationships" name="QF-08" sheetId="12" state="visible" r:id="rId12"/>
    <sheet xmlns:r="http://schemas.openxmlformats.org/officeDocument/2006/relationships" name="QF-09" sheetId="13" state="visible" r:id="rId13"/>
    <sheet xmlns:r="http://schemas.openxmlformats.org/officeDocument/2006/relationships" name="QF-10" sheetId="14" state="visible" r:id="rId14"/>
    <sheet xmlns:r="http://schemas.openxmlformats.org/officeDocument/2006/relationships" name="QF-11" sheetId="15" state="visible" r:id="rId15"/>
    <sheet xmlns:r="http://schemas.openxmlformats.org/officeDocument/2006/relationships" name="QF-12" sheetId="16" state="visible" r:id="rId16"/>
    <sheet xmlns:r="http://schemas.openxmlformats.org/officeDocument/2006/relationships" name="QF-13" sheetId="17" state="visible" r:id="rId17"/>
    <sheet xmlns:r="http://schemas.openxmlformats.org/officeDocument/2006/relationships" name="QF-13-2" sheetId="18" state="visible" r:id="rId18"/>
    <sheet xmlns:r="http://schemas.openxmlformats.org/officeDocument/2006/relationships" name="QF-14" sheetId="19" state="visible" r:id="rId19"/>
    <sheet xmlns:r="http://schemas.openxmlformats.org/officeDocument/2006/relationships" name="QF-15" sheetId="20" state="visible" r:id="rId20"/>
    <sheet xmlns:r="http://schemas.openxmlformats.org/officeDocument/2006/relationships" name="QF-16" sheetId="21" state="visible" r:id="rId21"/>
    <sheet xmlns:r="http://schemas.openxmlformats.org/officeDocument/2006/relationships" name="SF-01" sheetId="22" state="visible" r:id="rId22"/>
    <sheet xmlns:r="http://schemas.openxmlformats.org/officeDocument/2006/relationships" name="SF-02" sheetId="23" state="visible" r:id="rId23"/>
    <sheet xmlns:r="http://schemas.openxmlformats.org/officeDocument/2006/relationships" name="SF-03" sheetId="24" state="visible" r:id="rId24"/>
    <sheet xmlns:r="http://schemas.openxmlformats.org/officeDocument/2006/relationships" name="SF-04" sheetId="25" state="visible" r:id="rId25"/>
    <sheet xmlns:r="http://schemas.openxmlformats.org/officeDocument/2006/relationships" name="SF-05" sheetId="26" state="visible" r:id="rId26"/>
    <sheet xmlns:r="http://schemas.openxmlformats.org/officeDocument/2006/relationships" name="SF-06" sheetId="27" state="visible" r:id="rId27"/>
    <sheet xmlns:r="http://schemas.openxmlformats.org/officeDocument/2006/relationships" name="SF-07" sheetId="28" state="visible" r:id="rId28"/>
    <sheet xmlns:r="http://schemas.openxmlformats.org/officeDocument/2006/relationships" name="SF-08" sheetId="29" state="visible" r:id="rId29"/>
    <sheet xmlns:r="http://schemas.openxmlformats.org/officeDocument/2006/relationships" name="SF-09" sheetId="30" state="visible" r:id="rId30"/>
    <sheet xmlns:r="http://schemas.openxmlformats.org/officeDocument/2006/relationships" name="SF-10" sheetId="31" state="visible" r:id="rId31"/>
    <sheet xmlns:r="http://schemas.openxmlformats.org/officeDocument/2006/relationships" name="EF-01" sheetId="32" state="visible" r:id="rId32"/>
    <sheet xmlns:r="http://schemas.openxmlformats.org/officeDocument/2006/relationships" name="MF-01" sheetId="33" state="visible" r:id="rId33"/>
    <sheet xmlns:r="http://schemas.openxmlformats.org/officeDocument/2006/relationships" name="MF-02" sheetId="34" state="visible" r:id="rId34"/>
    <sheet xmlns:r="http://schemas.openxmlformats.org/officeDocument/2006/relationships" name="MF-03" sheetId="35" state="visible" r:id="rId35"/>
    <sheet xmlns:r="http://schemas.openxmlformats.org/officeDocument/2006/relationships" name="MF-04" sheetId="36" state="visible" r:id="rId36"/>
    <sheet xmlns:r="http://schemas.openxmlformats.org/officeDocument/2006/relationships" name="MF-05" sheetId="37" state="visible" r:id="rId37"/>
    <sheet xmlns:r="http://schemas.openxmlformats.org/officeDocument/2006/relationships" name="MF-06" sheetId="38" state="visible" r:id="rId38"/>
  </sheets>
  <definedNames>
    <definedName name="_xlnm.Print_Titles" localSheetId="0">'양식목록'!$8:$8</definedName>
    <definedName name="_xlnm.Print_Area" localSheetId="0">'양식목록'!$A$1:$F$48</definedName>
    <definedName name="_xlnm.Print_Area" localSheetId="1">'문서관리'!$A$1:$E$29</definedName>
    <definedName name="_xlnm.Print_Area" localSheetId="2">'작성안내'!$A$1:$B$16</definedName>
    <definedName name="_xlnm.Print_Area" localSheetId="3">'PF-00'!$A$1:$G$29</definedName>
    <definedName name="_xlnm.Print_Area" localSheetId="4">'QF-02'!$A$1:$G$29</definedName>
    <definedName name="_xlnm.Print_Titles" localSheetId="5">'QF-03'!$13:$13</definedName>
    <definedName name="_xlnm.Print_Area" localSheetId="5">'QF-03'!$A$1:$H$25</definedName>
    <definedName name="_xlnm.Print_Titles" localSheetId="6">'QF-04'!$11:$11</definedName>
    <definedName name="_xlnm.Print_Area" localSheetId="6">'QF-04'!$A$1:$J$41</definedName>
    <definedName name="_xlnm.Print_Area" localSheetId="7">'QF-05'!$A$1:$F$28</definedName>
    <definedName name="_xlnm.Print_Area" localSheetId="8">'QF-06'!$A$1:$G$29</definedName>
    <definedName name="_xlnm.Print_Titles" localSheetId="9">'QF-06-1'!$12:$12</definedName>
    <definedName name="_xlnm.Print_Area" localSheetId="9">'QF-06-1'!$A$1:$I$74</definedName>
    <definedName name="_xlnm.Print_Area" localSheetId="10">'QF-07'!$A$1:$G$27</definedName>
    <definedName name="_xlnm.Print_Titles" localSheetId="11">'QF-08'!$12:$12</definedName>
    <definedName name="_xlnm.Print_Area" localSheetId="11">'QF-08'!$A$1:$I$24</definedName>
    <definedName name="_xlnm.Print_Area" localSheetId="12">'QF-09'!$A$1:$G$26</definedName>
    <definedName name="_xlnm.Print_Titles" localSheetId="13">'QF-10'!$11:$11</definedName>
    <definedName name="_xlnm.Print_Area" localSheetId="13">'QF-10'!$A$1:$K$24</definedName>
    <definedName name="_xlnm.Print_Titles" localSheetId="14">'QF-11'!$10:$10</definedName>
    <definedName name="_xlnm.Print_Area" localSheetId="14">'QF-11'!$A$1:$K$46</definedName>
    <definedName name="_xlnm.Print_Titles" localSheetId="15">'QF-12'!$12:$12</definedName>
    <definedName name="_xlnm.Print_Area" localSheetId="15">'QF-12'!$A$1:$K$44</definedName>
    <definedName name="_xlnm.Print_Titles" localSheetId="16">'QF-13'!$13:$13</definedName>
    <definedName name="_xlnm.Print_Area" localSheetId="16">'QF-13'!$A$1:$I$46</definedName>
    <definedName name="_xlnm.Print_Titles" localSheetId="17">'QF-13-2'!$11:$11</definedName>
    <definedName name="_xlnm.Print_Area" localSheetId="17">'QF-13-2'!$A$1:$G$27</definedName>
    <definedName name="_xlnm.Print_Titles" localSheetId="18">'QF-14'!$10:$10</definedName>
    <definedName name="_xlnm.Print_Area" localSheetId="18">'QF-14'!$A$1:$J$24</definedName>
    <definedName name="_xlnm.Print_Titles" localSheetId="19">'QF-15'!$14:$14</definedName>
    <definedName name="_xlnm.Print_Area" localSheetId="19">'QF-15'!$A$1:$G$42</definedName>
    <definedName name="_xlnm.Print_Area" localSheetId="20">'QF-16'!$A$1:$I$23</definedName>
    <definedName name="_xlnm.Print_Titles" localSheetId="21">'SF-01'!$13:$13</definedName>
    <definedName name="_xlnm.Print_Area" localSheetId="21">'SF-01'!$A$1:$M$37</definedName>
    <definedName name="_xlnm.Print_Area" localSheetId="22">'SF-02'!$A$1:$E$29</definedName>
    <definedName name="_xlnm.Print_Area" localSheetId="23">'SF-03'!$A$1:$F$25</definedName>
    <definedName name="_xlnm.Print_Area" localSheetId="24">'SF-04'!$A$1:$H$30</definedName>
    <definedName name="_xlnm.Print_Area" localSheetId="25">'SF-05'!$A$1:$H$29</definedName>
    <definedName name="_xlnm.Print_Titles" localSheetId="26">'SF-06'!$13:$13</definedName>
    <definedName name="_xlnm.Print_Area" localSheetId="26">'SF-06'!$A$1:$H$47</definedName>
    <definedName name="_xlnm.Print_Area" localSheetId="27">'SF-07'!$A$1:$H$24</definedName>
    <definedName name="_xlnm.Print_Area" localSheetId="28">'SF-08'!$A$1:$H$27</definedName>
    <definedName name="_xlnm.Print_Area" localSheetId="29">'SF-09'!$A$1:$H$25</definedName>
    <definedName name="_xlnm.Print_Area" localSheetId="30">'SF-10'!$A$1:$H$27</definedName>
    <definedName name="_xlnm.Print_Titles" localSheetId="31">'EF-01'!$12:$12</definedName>
    <definedName name="_xlnm.Print_Area" localSheetId="31">'EF-01'!$A$1:$K$42</definedName>
    <definedName name="_xlnm.Print_Titles" localSheetId="32">'MF-01'!$13:$13</definedName>
    <definedName name="_xlnm.Print_Area" localSheetId="32">'MF-01'!$A$1:$G$42</definedName>
    <definedName name="_xlnm.Print_Area" localSheetId="33">'MF-02'!$A$1:$F$27</definedName>
    <definedName name="_xlnm.Print_Area" localSheetId="34">'MF-03'!$A$1:$H$21</definedName>
    <definedName name="_xlnm.Print_Area" localSheetId="35">'MF-04'!$A$1:$G$25</definedName>
    <definedName name="_xlnm.Print_Titles" localSheetId="36">'MF-05'!$11:$11</definedName>
    <definedName name="_xlnm.Print_Area" localSheetId="36">'MF-05'!$A$1:$H$56</definedName>
    <definedName name="_xlnm.Print_Area" localSheetId="37">'MF-06'!$A$1:$F$26</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Malgun Gothic"/>
      <b val="1"/>
      <color rgb="001857A5"/>
      <sz val="16"/>
    </font>
    <font>
      <name val="Malgun Gothic"/>
      <color rgb="00263445"/>
      <sz val="9"/>
    </font>
    <font>
      <name val="Malgun Gothic"/>
      <b val="1"/>
      <color rgb="00FFFFFF"/>
      <sz val="9.5"/>
    </font>
    <font>
      <name val="Malgun Gothic"/>
      <color rgb="00263445"/>
      <sz val="9.5"/>
    </font>
    <font>
      <name val="Malgun Gothic"/>
      <b val="1"/>
      <color rgb="00263445"/>
      <sz val="9"/>
    </font>
    <font>
      <name val="Malgun Gothic"/>
      <color rgb="00263445"/>
      <sz val="10"/>
    </font>
    <font>
      <name val="Malgun Gothic"/>
      <b val="1"/>
      <color rgb="00263445"/>
      <sz val="9.5"/>
    </font>
    <font>
      <name val="Malgun Gothic"/>
      <b val="1"/>
      <color rgb="00263445"/>
      <sz val="10"/>
    </font>
  </fonts>
  <fills count="6">
    <fill>
      <patternFill/>
    </fill>
    <fill>
      <patternFill patternType="gray125"/>
    </fill>
    <fill>
      <patternFill patternType="solid">
        <fgColor rgb="001857A5"/>
      </patternFill>
    </fill>
    <fill>
      <patternFill patternType="solid">
        <fgColor rgb="00F4F6F9"/>
      </patternFill>
    </fill>
    <fill>
      <patternFill patternType="solid">
        <fgColor rgb="00FFFFFF"/>
      </patternFill>
    </fill>
    <fill>
      <patternFill patternType="solid">
        <fgColor rgb="00E8EEF6"/>
      </patternFill>
    </fill>
  </fills>
  <borders count="2">
    <border>
      <left/>
      <right/>
      <top/>
      <bottom/>
      <diagonal/>
    </border>
    <border>
      <left style="thin">
        <color rgb="008A9BB0"/>
      </left>
      <right style="thin">
        <color rgb="008A9BB0"/>
      </right>
      <top style="thin">
        <color rgb="008A9BB0"/>
      </top>
      <bottom style="thin">
        <color rgb="008A9BB0"/>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4" borderId="1" applyAlignment="1" pivotButton="0" quotePrefix="0" xfId="0">
      <alignment horizontal="left" vertical="top" wrapText="1"/>
    </xf>
    <xf numFmtId="0" fontId="5"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3" borderId="1" applyAlignment="1" pivotButton="0" quotePrefix="0" xfId="0">
      <alignment horizontal="center" vertical="center" wrapText="1"/>
    </xf>
    <xf numFmtId="0" fontId="2" fillId="5" borderId="1" applyAlignment="1" pivotButton="0" quotePrefix="0" xfId="0">
      <alignment horizontal="left" vertical="center" wrapText="1"/>
    </xf>
    <xf numFmtId="0" fontId="0" fillId="4" borderId="1" pivotButton="0" quotePrefix="0" xfId="0"/>
    <xf numFmtId="164" fontId="4" fillId="4" borderId="1" applyAlignment="1" pivotButton="0" quotePrefix="0" xfId="0">
      <alignment horizontal="left" vertical="center" wrapText="1"/>
    </xf>
    <xf numFmtId="3" fontId="4" fillId="4" borderId="1" applyAlignment="1" pivotButton="0" quotePrefix="0" xfId="0">
      <alignment horizontal="left" vertical="center" wrapText="1"/>
    </xf>
    <xf numFmtId="9" fontId="4" fillId="3" borderId="1" applyAlignment="1" pivotButton="0" quotePrefix="0" xfId="0">
      <alignment horizontal="center" vertical="center" wrapText="1"/>
    </xf>
    <xf numFmtId="0" fontId="7" fillId="5" borderId="1" applyAlignment="1" pivotButton="0" quotePrefix="0" xfId="0">
      <alignment horizontal="center" vertical="center" wrapText="1"/>
    </xf>
    <xf numFmtId="3" fontId="7" fillId="3" borderId="1" applyAlignment="1" pivotButton="0" quotePrefix="0" xfId="0">
      <alignment horizontal="right" vertical="center" wrapText="1"/>
    </xf>
    <xf numFmtId="9" fontId="7" fillId="3" borderId="1" applyAlignment="1" pivotButton="0" quotePrefix="0" xfId="0">
      <alignment horizontal="center" vertical="center" wrapText="1"/>
    </xf>
    <xf numFmtId="0" fontId="8" fillId="3" borderId="1" applyAlignment="1" pivotButton="0" quotePrefix="0" xfId="0">
      <alignment horizontal="center" vertical="center"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_rels/drawing29.xml.rels><Relationships xmlns="http://schemas.openxmlformats.org/package/2006/relationships"><Relationship Type="http://schemas.openxmlformats.org/officeDocument/2006/relationships/image" Target="/xl/media/image29.png" Id="rId1"/></Relationships>
</file>

<file path=xl/drawings/_rels/drawing30.xml.rels><Relationships xmlns="http://schemas.openxmlformats.org/package/2006/relationships"><Relationship Type="http://schemas.openxmlformats.org/officeDocument/2006/relationships/image" Target="/xl/media/image30.png" Id="rId1"/></Relationships>
</file>

<file path=xl/drawings/_rels/drawing31.xml.rels><Relationships xmlns="http://schemas.openxmlformats.org/package/2006/relationships"><Relationship Type="http://schemas.openxmlformats.org/officeDocument/2006/relationships/image" Target="/xl/media/image31.png" Id="rId1"/></Relationships>
</file>

<file path=xl/drawings/_rels/drawing32.xml.rels><Relationships xmlns="http://schemas.openxmlformats.org/package/2006/relationships"><Relationship Type="http://schemas.openxmlformats.org/officeDocument/2006/relationships/image" Target="/xl/media/image32.png" Id="rId1"/></Relationships>
</file>

<file path=xl/drawings/_rels/drawing33.xml.rels><Relationships xmlns="http://schemas.openxmlformats.org/package/2006/relationships"><Relationship Type="http://schemas.openxmlformats.org/officeDocument/2006/relationships/image" Target="/xl/media/image33.png" Id="rId1"/></Relationships>
</file>

<file path=xl/drawings/_rels/drawing34.xml.rels><Relationships xmlns="http://schemas.openxmlformats.org/package/2006/relationships"><Relationship Type="http://schemas.openxmlformats.org/officeDocument/2006/relationships/image" Target="/xl/media/image34.png" Id="rId1"/></Relationships>
</file>

<file path=xl/drawings/_rels/drawing35.xml.rels><Relationships xmlns="http://schemas.openxmlformats.org/package/2006/relationships"><Relationship Type="http://schemas.openxmlformats.org/officeDocument/2006/relationships/image" Target="/xl/media/image35.png" Id="rId1"/></Relationships>
</file>

<file path=xl/drawings/_rels/drawing36.xml.rels><Relationships xmlns="http://schemas.openxmlformats.org/package/2006/relationships"><Relationship Type="http://schemas.openxmlformats.org/officeDocument/2006/relationships/image" Target="/xl/media/image36.png" Id="rId1"/></Relationships>
</file>

<file path=xl/drawings/_rels/drawing37.xml.rels><Relationships xmlns="http://schemas.openxmlformats.org/package/2006/relationships"><Relationship Type="http://schemas.openxmlformats.org/officeDocument/2006/relationships/image" Target="/xl/media/image37.png" Id="rId1"/></Relationships>
</file>

<file path=xl/drawings/_rels/drawing38.xml.rels><Relationships xmlns="http://schemas.openxmlformats.org/package/2006/relationships"><Relationship Type="http://schemas.openxmlformats.org/officeDocument/2006/relationships/image" Target="/xl/media/image38.png" Id="rId1"/></Relationships>
</file>

<file path=xl/drawings/drawing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_rels/sheet31.xml.rels><Relationships xmlns="http://schemas.openxmlformats.org/package/2006/relationships"><Relationship Type="http://schemas.openxmlformats.org/officeDocument/2006/relationships/drawing" Target="/xl/drawings/drawing31.xml" Id="rId1"/></Relationships>
</file>

<file path=xl/worksheets/_rels/sheet32.xml.rels><Relationships xmlns="http://schemas.openxmlformats.org/package/2006/relationships"><Relationship Type="http://schemas.openxmlformats.org/officeDocument/2006/relationships/drawing" Target="/xl/drawings/drawing32.xml" Id="rId1"/></Relationships>
</file>

<file path=xl/worksheets/_rels/sheet33.xml.rels><Relationships xmlns="http://schemas.openxmlformats.org/package/2006/relationships"><Relationship Type="http://schemas.openxmlformats.org/officeDocument/2006/relationships/drawing" Target="/xl/drawings/drawing33.xml" Id="rId1"/></Relationships>
</file>

<file path=xl/worksheets/_rels/sheet34.xml.rels><Relationships xmlns="http://schemas.openxmlformats.org/package/2006/relationships"><Relationship Type="http://schemas.openxmlformats.org/officeDocument/2006/relationships/drawing" Target="/xl/drawings/drawing34.xml" Id="rId1"/></Relationships>
</file>

<file path=xl/worksheets/_rels/sheet35.xml.rels><Relationships xmlns="http://schemas.openxmlformats.org/package/2006/relationships"><Relationship Type="http://schemas.openxmlformats.org/officeDocument/2006/relationships/drawing" Target="/xl/drawings/drawing35.xml" Id="rId1"/></Relationships>
</file>

<file path=xl/worksheets/_rels/sheet36.xml.rels><Relationships xmlns="http://schemas.openxmlformats.org/package/2006/relationships"><Relationship Type="http://schemas.openxmlformats.org/officeDocument/2006/relationships/drawing" Target="/xl/drawings/drawing36.xml" Id="rId1"/></Relationships>
</file>

<file path=xl/worksheets/_rels/sheet37.xml.rels><Relationships xmlns="http://schemas.openxmlformats.org/package/2006/relationships"><Relationship Type="http://schemas.openxmlformats.org/officeDocument/2006/relationships/drawing" Target="/xl/drawings/drawing37.xml" Id="rId1"/></Relationships>
</file>

<file path=xl/worksheets/_rels/sheet38.xml.rels><Relationships xmlns="http://schemas.openxmlformats.org/package/2006/relationships"><Relationship Type="http://schemas.openxmlformats.org/officeDocument/2006/relationships/drawing" Target="/xl/drawings/drawing38.xml" Id="rId1"/></Relationships>
</file>

<file path=xl/worksheets/sheet1.xml><?xml version="1.0" encoding="utf-8"?>
<worksheet xmlns="http://schemas.openxmlformats.org/spreadsheetml/2006/main">
  <sheetPr>
    <outlinePr summaryBelow="1" summaryRight="1"/>
    <pageSetUpPr fitToPage="1"/>
  </sheetPr>
  <dimension ref="A2:F48"/>
  <sheetViews>
    <sheetView showGridLines="0" workbookViewId="0">
      <pane ySplit="8" topLeftCell="A9" activePane="bottomLeft" state="frozen"/>
      <selection pane="bottomLeft" activeCell="A1" sqref="A1"/>
    </sheetView>
  </sheetViews>
  <sheetFormatPr baseColWidth="8" defaultRowHeight="15"/>
  <cols>
    <col width="9" customWidth="1" min="1" max="1"/>
    <col width="27" customWidth="1" min="2" max="2"/>
    <col width="18" customWidth="1" min="3" max="3"/>
    <col width="21" customWidth="1" min="4" max="4"/>
    <col width="8" customWidth="1" min="5" max="5"/>
    <col width="12" customWidth="1" min="6" max="6"/>
  </cols>
  <sheetData>
    <row r="1" ht="22" customHeight="1"/>
    <row r="2" ht="28" customHeight="1">
      <c r="A2" s="1" t="inlineStr">
        <is>
          <t>통합 기록양식 목록</t>
        </is>
      </c>
      <c r="B2" s="1" t="n"/>
      <c r="C2" s="1" t="n"/>
      <c r="D2" s="1" t="n"/>
      <c r="E2" s="1" t="n"/>
      <c r="F2" s="1" t="n"/>
    </row>
    <row r="3" ht="16" customHeight="1">
      <c r="A3" s="2" t="inlineStr">
        <is>
          <t>동인엔시스 | DI-IMS-F-01 | Rev.00 | 제정 2026.10.01 | 시행 2026.10.01 (대표 승인)</t>
        </is>
      </c>
      <c r="B3" s="2" t="n"/>
      <c r="C3" s="2" t="n"/>
      <c r="D3" s="2" t="n"/>
      <c r="E3" s="2" t="n"/>
      <c r="F3" s="2" t="n"/>
    </row>
    <row r="4" ht="5" customHeight="1"/>
    <row r="5" ht="14.15" customHeight="1">
      <c r="A5" s="2" t="inlineStr">
        <is>
          <t>2026.10.01 대표 승인·시행. 원본 빈 양식은 보존하고 프로젝트별 사본으로 작성합니다. 실제 서명·결과·일자를 입력합니다.</t>
        </is>
      </c>
      <c r="B5" s="2" t="n"/>
      <c r="C5" s="2" t="n"/>
      <c r="D5" s="2" t="n"/>
      <c r="E5" s="2" t="n"/>
      <c r="F5" s="2" t="n"/>
    </row>
    <row r="6" ht="26.3" customHeight="1">
      <c r="A6" s="2" t="inlineStr">
        <is>
          <t>양식 33종 + 별지 2종(QF-06-1, QF-13-2). QF-01은 결번(수주검토를 PF-00으로 통합). 보존은 최소 기간이며 법규·고객 요구가 더 길면 그 기간을 따릅니다.</t>
        </is>
      </c>
      <c r="B6" s="2" t="n"/>
      <c r="C6" s="2" t="n"/>
      <c r="D6" s="2" t="n"/>
      <c r="E6" s="2" t="n"/>
      <c r="F6" s="2" t="n"/>
    </row>
    <row r="7" ht="5" customHeight="1"/>
    <row r="8" ht="26" customHeight="1">
      <c r="A8" s="3" t="inlineStr">
        <is>
          <t>번호</t>
        </is>
      </c>
      <c r="B8" s="3" t="inlineStr">
        <is>
          <t>양식명</t>
        </is>
      </c>
      <c r="C8" s="3" t="inlineStr">
        <is>
          <t>담당 (작성 / 확인)</t>
        </is>
      </c>
      <c r="D8" s="3" t="inlineStr">
        <is>
          <t>작성 시점</t>
        </is>
      </c>
      <c r="E8" s="3" t="inlineStr">
        <is>
          <t>매뉴얼</t>
        </is>
      </c>
      <c r="F8" s="3" t="inlineStr">
        <is>
          <t>보존</t>
        </is>
      </c>
    </row>
    <row r="9" ht="31.65" customHeight="1">
      <c r="A9" s="4" t="inlineStr">
        <is>
          <t>PF-00</t>
        </is>
      </c>
      <c r="B9" s="4" t="inlineStr">
        <is>
          <t>프로젝트 수주검토 및 단계 승인</t>
        </is>
      </c>
      <c r="C9" s="4" t="inlineStr">
        <is>
          <t>영업관리·품질</t>
        </is>
      </c>
      <c r="D9" s="4" t="inlineStr">
        <is>
          <t>수주 전 / 단계 완료 시</t>
        </is>
      </c>
      <c r="E9" s="4" t="inlineStr">
        <is>
          <t>4, 5.2, 5.7</t>
        </is>
      </c>
      <c r="F9" s="4" t="inlineStr">
        <is>
          <t>프로젝트 종료 후 5년</t>
        </is>
      </c>
    </row>
    <row r="10" ht="31.65" customHeight="1">
      <c r="A10" s="4" t="inlineStr">
        <is>
          <t>QF-02</t>
        </is>
      </c>
      <c r="B10" s="4" t="inlineStr">
        <is>
          <t>설계 계획 입력 검토 검증 및 변경 승인</t>
        </is>
      </c>
      <c r="C10" s="4" t="inlineStr">
        <is>
          <t>설계·프로그램 / 기술팀 총괄</t>
        </is>
      </c>
      <c r="D10" s="4" t="inlineStr">
        <is>
          <t>설계 착수·출도·변경 시</t>
        </is>
      </c>
      <c r="E10" s="4" t="inlineStr">
        <is>
          <t>5.2, 5.11</t>
        </is>
      </c>
      <c r="F10" s="4" t="inlineStr">
        <is>
          <t>프로젝트 종료 후 5년</t>
        </is>
      </c>
    </row>
    <row r="11" ht="31.65" customHeight="1">
      <c r="A11" s="4" t="inlineStr">
        <is>
          <t>QF-03</t>
        </is>
      </c>
      <c r="B11" s="4" t="inlineStr">
        <is>
          <t>입고 검사 및 고객 지급품 확인</t>
        </is>
      </c>
      <c r="C11" s="4" t="inlineStr">
        <is>
          <t>생산관리 / 품질</t>
        </is>
      </c>
      <c r="D11" s="4" t="inlineStr">
        <is>
          <t>입고별</t>
        </is>
      </c>
      <c r="E11" s="4" t="inlineStr">
        <is>
          <t>5.3, 5.4, 5.12</t>
        </is>
      </c>
      <c r="F11" s="4" t="inlineStr">
        <is>
          <t>프로젝트 종료 후 5년</t>
        </is>
      </c>
    </row>
    <row r="12" ht="31.65" customHeight="1">
      <c r="A12" s="4" t="inlineStr">
        <is>
          <t>QF-04</t>
        </is>
      </c>
      <c r="B12" s="4" t="inlineStr">
        <is>
          <t>판넬 LOT 및 출하 이력</t>
        </is>
      </c>
      <c r="C12" s="4" t="inlineStr">
        <is>
          <t>생산관리 / 품질</t>
        </is>
      </c>
      <c r="D12" s="4" t="inlineStr">
        <is>
          <t>판넬 출하·인수·AS 시</t>
        </is>
      </c>
      <c r="E12" s="4" t="inlineStr">
        <is>
          <t>5.4, 5.7</t>
        </is>
      </c>
      <c r="F12" s="4" t="inlineStr">
        <is>
          <t>프로젝트 종료 후 5년</t>
        </is>
      </c>
    </row>
    <row r="13" ht="31.65" customHeight="1">
      <c r="A13" s="4" t="inlineStr">
        <is>
          <t>QF-05</t>
        </is>
      </c>
      <c r="B13" s="4" t="inlineStr">
        <is>
          <t>배선 작업자 검사 및 숙련자 확인</t>
        </is>
      </c>
      <c r="C13" s="4" t="inlineStr">
        <is>
          <t>제조 / 생산관리</t>
        </is>
      </c>
      <c r="D13" s="4" t="inlineStr">
        <is>
          <t>판넬별 배선 완료·수정 후</t>
        </is>
      </c>
      <c r="E13" s="4" t="inlineStr">
        <is>
          <t>5.5, 부록 B</t>
        </is>
      </c>
      <c r="F13" s="4" t="inlineStr">
        <is>
          <t>프로젝트 종료 후 5년</t>
        </is>
      </c>
    </row>
    <row r="14" ht="31.65" customHeight="1">
      <c r="A14" s="4" t="inlineStr">
        <is>
          <t>QF-06</t>
        </is>
      </c>
      <c r="B14" s="4" t="inlineStr">
        <is>
          <t>자체 시험 및 FAT 성적서</t>
        </is>
      </c>
      <c r="C14" s="4" t="inlineStr">
        <is>
          <t>시험 담당 / 품질</t>
        </is>
      </c>
      <c r="D14" s="4" t="inlineStr">
        <is>
          <t>판넬별 시험·재시험</t>
        </is>
      </c>
      <c r="E14" s="4" t="inlineStr">
        <is>
          <t>5.6, 5.7</t>
        </is>
      </c>
      <c r="F14" s="4" t="inlineStr">
        <is>
          <t>프로젝트 종료 후 5년</t>
        </is>
      </c>
    </row>
    <row r="15" ht="31.65" customHeight="1">
      <c r="A15" s="4" t="inlineStr">
        <is>
          <t>QF-06-1</t>
        </is>
      </c>
      <c r="B15" s="4" t="inlineStr">
        <is>
          <t>I/O·인터록·알람 점검표 (QF-06 별지)</t>
        </is>
      </c>
      <c r="C15" s="4" t="inlineStr">
        <is>
          <t>시험 담당 / 품질</t>
        </is>
      </c>
      <c r="D15" s="4" t="inlineStr">
        <is>
          <t>FAT·SAT 점별 시험 시</t>
        </is>
      </c>
      <c r="E15" s="4" t="inlineStr">
        <is>
          <t>5.6</t>
        </is>
      </c>
      <c r="F15" s="4" t="inlineStr">
        <is>
          <t>프로젝트 종료 후 5년</t>
        </is>
      </c>
    </row>
    <row r="16" ht="31.65" customHeight="1">
      <c r="A16" s="4" t="inlineStr">
        <is>
          <t>QF-07</t>
        </is>
      </c>
      <c r="B16" s="4" t="inlineStr">
        <is>
          <t>SAT 시운전 및 고객 인수</t>
        </is>
      </c>
      <c r="C16" s="4" t="inlineStr">
        <is>
          <t>시운전 담당 / 품질</t>
        </is>
      </c>
      <c r="D16" s="4" t="inlineStr">
        <is>
          <t>현장별·미결종결 시</t>
        </is>
      </c>
      <c r="E16" s="4" t="inlineStr">
        <is>
          <t>5.7</t>
        </is>
      </c>
      <c r="F16" s="4" t="inlineStr">
        <is>
          <t>프로젝트 종료 후 5년</t>
        </is>
      </c>
    </row>
    <row r="17" ht="31.65" customHeight="1">
      <c r="A17" s="4" t="inlineStr">
        <is>
          <t>QF-08</t>
        </is>
      </c>
      <c r="B17" s="4" t="inlineStr">
        <is>
          <t>PLC 및 파라미터 버전 관리</t>
        </is>
      </c>
      <c r="C17" s="4" t="inlineStr">
        <is>
          <t>프로그램 / 기술팀 총괄</t>
        </is>
      </c>
      <c r="D17" s="4" t="inlineStr">
        <is>
          <t>변경·FAT·출하·SAT 종료 시</t>
        </is>
      </c>
      <c r="E17" s="4" t="inlineStr">
        <is>
          <t>5.8, 5.11</t>
        </is>
      </c>
      <c r="F17" s="4" t="inlineStr">
        <is>
          <t>프로젝트 종료 후 5년</t>
        </is>
      </c>
    </row>
    <row r="18" ht="31.65" customHeight="1">
      <c r="A18" s="4" t="inlineStr">
        <is>
          <t>QF-09</t>
        </is>
      </c>
      <c r="B18" s="4" t="inlineStr">
        <is>
          <t>부적합 사건 및 시정조치</t>
        </is>
      </c>
      <c r="C18" s="4" t="inlineStr">
        <is>
          <t>품질 / 안전·환경 담당</t>
        </is>
      </c>
      <c r="D18" s="4" t="inlineStr">
        <is>
          <t>발견·사건·클레임 시</t>
        </is>
      </c>
      <c r="E18" s="4" t="inlineStr">
        <is>
          <t>5.10, 5.12, 6</t>
        </is>
      </c>
      <c r="F18" s="4" t="inlineStr">
        <is>
          <t>종결 후 5년</t>
        </is>
      </c>
    </row>
    <row r="19" ht="31.65" customHeight="1">
      <c r="A19" s="4" t="inlineStr">
        <is>
          <t>QF-10</t>
        </is>
      </c>
      <c r="B19" s="4" t="inlineStr">
        <is>
          <t>공급자 및 외주 평가 승인</t>
        </is>
      </c>
      <c r="C19" s="4" t="inlineStr">
        <is>
          <t>생산관리 / 품질</t>
        </is>
      </c>
      <c r="D19" s="4" t="inlineStr">
        <is>
          <t>신규 발주 전·연 1회·중대한 문제 시</t>
        </is>
      </c>
      <c r="E19" s="4" t="inlineStr">
        <is>
          <t>5.3</t>
        </is>
      </c>
      <c r="F19" s="4" t="inlineStr">
        <is>
          <t>평가연도 종료 후 5년</t>
        </is>
      </c>
    </row>
    <row r="20" ht="31.65" customHeight="1">
      <c r="A20" s="4" t="inlineStr">
        <is>
          <t>QF-11</t>
        </is>
      </c>
      <c r="B20" s="4" t="inlineStr">
        <is>
          <t>계측기 및 제조 시험 설비 관리</t>
        </is>
      </c>
      <c r="C20" s="4" t="inlineStr">
        <is>
          <t>품질 / 생산관리</t>
        </is>
      </c>
      <c r="D20" s="4" t="inlineStr">
        <is>
          <t>등록·교정·사용 전·설비점검 시</t>
        </is>
      </c>
      <c r="E20" s="4" t="inlineStr">
        <is>
          <t>5.9, 5.13</t>
        </is>
      </c>
      <c r="F20" s="4" t="inlineStr">
        <is>
          <t>폐기 후 5년</t>
        </is>
      </c>
    </row>
    <row r="21" ht="31.65" customHeight="1">
      <c r="A21" s="4" t="inlineStr">
        <is>
          <t>QF-12</t>
        </is>
      </c>
      <c r="B21" s="4" t="inlineStr">
        <is>
          <t>교육 역량 평가 및 작업 검사 자격</t>
        </is>
      </c>
      <c r="C21" s="4" t="inlineStr">
        <is>
          <t>부서 책임자 / 안전 담당·품질</t>
        </is>
      </c>
      <c r="D21" s="4" t="inlineStr">
        <is>
          <t>배치 전·변경 시·교육 실시 시</t>
        </is>
      </c>
      <c r="E21" s="4" t="inlineStr">
        <is>
          <t>5.5, 6, 6.1</t>
        </is>
      </c>
      <c r="F21" s="4" t="inlineStr">
        <is>
          <t>작성연도 종료 후 5년</t>
        </is>
      </c>
    </row>
    <row r="22" ht="31.65" customHeight="1">
      <c r="A22" s="4" t="inlineStr">
        <is>
          <t>QF-13</t>
        </is>
      </c>
      <c r="B22" s="4" t="inlineStr">
        <is>
          <t>문서 기록 저장 및 백업 관리</t>
        </is>
      </c>
      <c r="C22" s="4" t="inlineStr">
        <is>
          <t>품질 / 경영관리</t>
        </is>
      </c>
      <c r="D22" s="4" t="inlineStr">
        <is>
          <t>개정·배포·보관경로 변경 시</t>
        </is>
      </c>
      <c r="E22" s="4" t="inlineStr">
        <is>
          <t>5.1</t>
        </is>
      </c>
      <c r="F22" s="4" t="inlineStr">
        <is>
          <t>문서 이력 영구</t>
        </is>
      </c>
    </row>
    <row r="23" ht="31.65" customHeight="1">
      <c r="A23" s="4" t="inlineStr">
        <is>
          <t>QF-13-2</t>
        </is>
      </c>
      <c r="B23" s="4" t="inlineStr">
        <is>
          <t>백업 확인 및 표본 복구 기록 (QF-13 별지)</t>
        </is>
      </c>
      <c r="C23" s="4" t="inlineStr">
        <is>
          <t>경영관리 / 품질</t>
        </is>
      </c>
      <c r="D23" s="4" t="inlineStr">
        <is>
          <t>분기 1회 표본 복구 / 백업 실패 시</t>
        </is>
      </c>
      <c r="E23" s="4" t="inlineStr">
        <is>
          <t>5.1</t>
        </is>
      </c>
      <c r="F23" s="4" t="inlineStr">
        <is>
          <t>작성연도 종료 후 5년</t>
        </is>
      </c>
    </row>
    <row r="24" ht="31.65" customHeight="1">
      <c r="A24" s="4" t="inlineStr">
        <is>
          <t>QF-14</t>
        </is>
      </c>
      <c r="B24" s="4" t="inlineStr">
        <is>
          <t>고객 만족 의견 및 고객 감사 요구</t>
        </is>
      </c>
      <c r="C24" s="4" t="inlineStr">
        <is>
          <t>영업관리 / 품질</t>
        </is>
      </c>
      <c r="D24" s="4" t="inlineStr">
        <is>
          <t>SAT 종료·연 1회·고객감사 시</t>
        </is>
      </c>
      <c r="E24" s="4" t="inlineStr">
        <is>
          <t>5.12</t>
        </is>
      </c>
      <c r="F24" s="4" t="inlineStr">
        <is>
          <t>작성연도 종료 후 5년</t>
        </is>
      </c>
    </row>
    <row r="25" ht="44.475" customHeight="1">
      <c r="A25" s="4" t="inlineStr">
        <is>
          <t>QF-15</t>
        </is>
      </c>
      <c r="B25" s="4" t="inlineStr">
        <is>
          <t>프로젝트 기술 및 검사 기준 승인</t>
        </is>
      </c>
      <c r="C25" s="4" t="inlineStr">
        <is>
          <t>설계·시험 / 기술팀 총괄</t>
        </is>
      </c>
      <c r="D25" s="4" t="inlineStr">
        <is>
          <t>출도·발주·제작 전 / 변경 시</t>
        </is>
      </c>
      <c r="E25" s="4" t="inlineStr">
        <is>
          <t>5.2, 5.6, 부록 B</t>
        </is>
      </c>
      <c r="F25" s="4" t="inlineStr">
        <is>
          <t>프로젝트 종료 후 5년</t>
        </is>
      </c>
    </row>
    <row r="26" ht="31.65" customHeight="1">
      <c r="A26" s="4" t="inlineStr">
        <is>
          <t>QF-16</t>
        </is>
      </c>
      <c r="B26" s="4" t="inlineStr">
        <is>
          <t>판넬 공정 이동 및 작업 실적</t>
        </is>
      </c>
      <c r="C26" s="4" t="inlineStr">
        <is>
          <t>생산관리 / 제조</t>
        </is>
      </c>
      <c r="D26" s="4" t="inlineStr">
        <is>
          <t>판넬별 단계 완료 시</t>
        </is>
      </c>
      <c r="E26" s="4" t="inlineStr">
        <is>
          <t>5.4, 5.5, 5.12</t>
        </is>
      </c>
      <c r="F26" s="4" t="inlineStr">
        <is>
          <t>프로젝트 종료 후 5년</t>
        </is>
      </c>
    </row>
    <row r="27" ht="44.475" customHeight="1">
      <c r="A27" s="4" t="inlineStr">
        <is>
          <t>SF-01</t>
        </is>
      </c>
      <c r="B27" s="4" t="inlineStr">
        <is>
          <t>공정 위험성평가 및 감소조치</t>
        </is>
      </c>
      <c r="C27" s="4" t="inlineStr">
        <is>
          <t>왕리홍 대리 / 현장 근로자</t>
        </is>
      </c>
      <c r="D27" s="4" t="inlineStr">
        <is>
          <t>최초·연 1회·변경·사고/아차사고 시</t>
        </is>
      </c>
      <c r="E27" s="4" t="inlineStr">
        <is>
          <t>6, 6.1</t>
        </is>
      </c>
      <c r="F27" s="4" t="inlineStr">
        <is>
          <t>작성연도 종료 후 5년 (법정 3년)</t>
        </is>
      </c>
    </row>
    <row r="28" ht="31.65" customHeight="1">
      <c r="A28" s="4" t="inlineStr">
        <is>
          <t>SF-02</t>
        </is>
      </c>
      <c r="B28" s="4" t="inlineStr">
        <is>
          <t>시험 통전 및 정전 작업 안전 확인</t>
        </is>
      </c>
      <c r="C28" s="4" t="inlineStr">
        <is>
          <t>작업 책임자 / 왕리홍 대리</t>
        </is>
      </c>
      <c r="D28" s="4" t="inlineStr">
        <is>
          <t>FAT/SAT 작업 시작·전원상태 변경·종료 시</t>
        </is>
      </c>
      <c r="E28" s="4" t="inlineStr">
        <is>
          <t>5.6, 6</t>
        </is>
      </c>
      <c r="F28" s="4" t="inlineStr">
        <is>
          <t>작성연도 종료 후 5년</t>
        </is>
      </c>
    </row>
    <row r="29" ht="31.65" customHeight="1">
      <c r="A29" s="4" t="inlineStr">
        <is>
          <t>SF-03</t>
        </is>
      </c>
      <c r="B29" s="4" t="inlineStr">
        <is>
          <t>외주 및 현장 혼재 작업 안전 협의</t>
        </is>
      </c>
      <c r="C29" s="4" t="inlineStr">
        <is>
          <t>생산관리 / 왕리홍 대리</t>
        </is>
      </c>
      <c r="D29" s="4" t="inlineStr">
        <is>
          <t>외주 현장작업 시작 전·조건 변경 시</t>
        </is>
      </c>
      <c r="E29" s="4" t="inlineStr">
        <is>
          <t>5.3, 6</t>
        </is>
      </c>
      <c r="F29" s="4" t="inlineStr">
        <is>
          <t>작성연도 종료 후 5년</t>
        </is>
      </c>
    </row>
    <row r="30" ht="31.65" customHeight="1">
      <c r="A30" s="4" t="inlineStr">
        <is>
          <t>SF-04</t>
        </is>
      </c>
      <c r="B30" s="4" t="inlineStr">
        <is>
          <t>안전보건관리담당자·관리감독자 지정 및 반기 평가</t>
        </is>
      </c>
      <c r="C30" s="4" t="inlineStr">
        <is>
          <t>대표이사 / 경영관리</t>
        </is>
      </c>
      <c r="D30" s="4" t="inlineStr">
        <is>
          <t>선임·변경 시 / 반기(6월·12월) 평가</t>
        </is>
      </c>
      <c r="E30" s="4" t="inlineStr">
        <is>
          <t>3, 6.1</t>
        </is>
      </c>
      <c r="F30" s="4" t="inlineStr">
        <is>
          <t>선임 종료 후 5년</t>
        </is>
      </c>
    </row>
    <row r="31" ht="44.475" customHeight="1">
      <c r="A31" s="4" t="inlineStr">
        <is>
          <t>SF-05</t>
        </is>
      </c>
      <c r="B31" s="4" t="inlineStr">
        <is>
          <t>안전보건교육 연간 계획 및 실적</t>
        </is>
      </c>
      <c r="C31" s="4" t="inlineStr">
        <is>
          <t>왕리홍 대리 / 경영관리</t>
        </is>
      </c>
      <c r="D31" s="4" t="inlineStr">
        <is>
          <t>매년 1월 계획 / 교육 실시 시 / 반기 실적은 SF-08 점검 때</t>
        </is>
      </c>
      <c r="E31" s="4" t="inlineStr">
        <is>
          <t>6.1</t>
        </is>
      </c>
      <c r="F31" s="4" t="inlineStr">
        <is>
          <t>작성연도 종료 후 5년</t>
        </is>
      </c>
    </row>
    <row r="32" ht="44.475" customHeight="1">
      <c r="A32" s="4" t="inlineStr">
        <is>
          <t>SF-06</t>
        </is>
      </c>
      <c r="B32" s="4" t="inlineStr">
        <is>
          <t>건강진단 및 작업환경 관리대장</t>
        </is>
      </c>
      <c r="C32" s="4" t="inlineStr">
        <is>
          <t>경영관리 / 왕리홍 대리</t>
        </is>
      </c>
      <c r="D32" s="4" t="inlineStr">
        <is>
          <t>매년 1월 대상자 확정 / 수검 후 / 연 1회 유해인자 판정</t>
        </is>
      </c>
      <c r="E32" s="4" t="inlineStr">
        <is>
          <t>6.1</t>
        </is>
      </c>
      <c r="F32" s="4" t="inlineStr">
        <is>
          <t>작성연도 종료 후 5년 (결과표 별도)</t>
        </is>
      </c>
    </row>
    <row r="33" ht="44.475" customHeight="1">
      <c r="A33" s="4" t="inlineStr">
        <is>
          <t>SF-07</t>
        </is>
      </c>
      <c r="B33" s="4" t="inlineStr">
        <is>
          <t>안전보건 예산 편성 및 집행</t>
        </is>
      </c>
      <c r="C33" s="4" t="inlineStr">
        <is>
          <t>대표이사 / 왕리홍 대리 / 경영관리</t>
        </is>
      </c>
      <c r="D33" s="4" t="inlineStr">
        <is>
          <t>매년 1월 편성 / 반기 집행 확인 (SF-08 때) / 추가 필요 시</t>
        </is>
      </c>
      <c r="E33" s="4" t="inlineStr">
        <is>
          <t>6.1</t>
        </is>
      </c>
      <c r="F33" s="4" t="inlineStr">
        <is>
          <t>작성연도 종료 후 5년</t>
        </is>
      </c>
    </row>
    <row r="34" ht="44.475" customHeight="1">
      <c r="A34" s="4" t="inlineStr">
        <is>
          <t>SF-08</t>
        </is>
      </c>
      <c r="B34" s="4" t="inlineStr">
        <is>
          <t>반기 안전보건 이행점검</t>
        </is>
      </c>
      <c r="C34" s="4" t="inlineStr">
        <is>
          <t>왕리홍 대리 / 대표이사</t>
        </is>
      </c>
      <c r="D34" s="4" t="inlineStr">
        <is>
          <t>6월·12월(반기 1회) / 중대재해·중대한 변경 후 추가</t>
        </is>
      </c>
      <c r="E34" s="4" t="inlineStr">
        <is>
          <t>6.1</t>
        </is>
      </c>
      <c r="F34" s="4" t="inlineStr">
        <is>
          <t>작성연도 종료 후 5년</t>
        </is>
      </c>
    </row>
    <row r="35" ht="31.65" customHeight="1">
      <c r="A35" s="4" t="inlineStr">
        <is>
          <t>SF-09</t>
        </is>
      </c>
      <c r="B35" s="4" t="inlineStr">
        <is>
          <t>외주(수급인) 안전보건 역량 평가</t>
        </is>
      </c>
      <c r="C35" s="4" t="inlineStr">
        <is>
          <t>생산관리 / 왕리홍 대리</t>
        </is>
      </c>
      <c r="D35" s="4" t="inlineStr">
        <is>
          <t>신규 외주 선정 전 / 연 1회 / 사고·중대한 문제 시</t>
        </is>
      </c>
      <c r="E35" s="4" t="inlineStr">
        <is>
          <t>6.1</t>
        </is>
      </c>
      <c r="F35" s="4" t="inlineStr">
        <is>
          <t>거래 종료 후 5년</t>
        </is>
      </c>
    </row>
    <row r="36" ht="44.475" customHeight="1">
      <c r="A36" s="4" t="inlineStr">
        <is>
          <t>SF-10</t>
        </is>
      </c>
      <c r="B36" s="4" t="inlineStr">
        <is>
          <t>산업재해·중대재해 발생 대응 및 보고</t>
        </is>
      </c>
      <c r="C36" s="4" t="inlineStr">
        <is>
          <t>왕리홍 대리 / 대표이사</t>
        </is>
      </c>
      <c r="D36" s="4" t="inlineStr">
        <is>
          <t>재해·중대한 아차사고 발생 즉시 / 조사 완료 시</t>
        </is>
      </c>
      <c r="E36" s="4" t="inlineStr">
        <is>
          <t>6.2</t>
        </is>
      </c>
      <c r="F36" s="4" t="inlineStr">
        <is>
          <t>작성연도 종료 후 5년 (법정 3년)</t>
        </is>
      </c>
    </row>
    <row r="37" ht="31.65" customHeight="1">
      <c r="A37" s="4" t="inlineStr">
        <is>
          <t>EF-01</t>
        </is>
      </c>
      <c r="B37" s="4" t="inlineStr">
        <is>
          <t>환경측면 중요도 및 운영관리</t>
        </is>
      </c>
      <c r="C37" s="4" t="inlineStr">
        <is>
          <t>성문기 과장</t>
        </is>
      </c>
      <c r="D37" s="4" t="inlineStr">
        <is>
          <t>최초·연 1회·변경 시</t>
        </is>
      </c>
      <c r="E37" s="4" t="inlineStr">
        <is>
          <t>7</t>
        </is>
      </c>
      <c r="F37" s="4" t="inlineStr">
        <is>
          <t>작성연도 종료 후 5년</t>
        </is>
      </c>
    </row>
    <row r="38" ht="31.65" customHeight="1">
      <c r="A38" s="4" t="inlineStr">
        <is>
          <t>MF-01</t>
        </is>
      </c>
      <c r="B38" s="4" t="inlineStr">
        <is>
          <t>내부심사 계획 증거 및 결과</t>
        </is>
      </c>
      <c r="C38" s="4" t="inlineStr">
        <is>
          <t>품질 / 독립된 심사원</t>
        </is>
      </c>
      <c r="D38" s="4" t="inlineStr">
        <is>
          <t>연 1회·중대한 변경/지적 시 추가</t>
        </is>
      </c>
      <c r="E38" s="4" t="inlineStr">
        <is>
          <t>8</t>
        </is>
      </c>
      <c r="F38" s="4" t="inlineStr">
        <is>
          <t>작성연도 종료 후 5년</t>
        </is>
      </c>
    </row>
    <row r="39" ht="31.65" customHeight="1">
      <c r="A39" s="4" t="inlineStr">
        <is>
          <t>MF-02</t>
        </is>
      </c>
      <c r="B39" s="4" t="inlineStr">
        <is>
          <t>통합 경영검토 및 결정 추적</t>
        </is>
      </c>
      <c r="C39" s="4" t="inlineStr">
        <is>
          <t>대표이사 / 품질</t>
        </is>
      </c>
      <c r="D39" s="4" t="inlineStr">
        <is>
          <t>연 1회·중대한 변경 시</t>
        </is>
      </c>
      <c r="E39" s="4" t="inlineStr">
        <is>
          <t>8</t>
        </is>
      </c>
      <c r="F39" s="4" t="inlineStr">
        <is>
          <t>작성연도 종료 후 5년</t>
        </is>
      </c>
    </row>
    <row r="40" ht="31.65" customHeight="1">
      <c r="A40" s="4" t="inlineStr">
        <is>
          <t>MF-03</t>
        </is>
      </c>
      <c r="B40" s="4" t="inlineStr">
        <is>
          <t>연간 목표 실행계획 및 성과</t>
        </is>
      </c>
      <c r="C40" s="4" t="inlineStr">
        <is>
          <t>대표 / 각 담당</t>
        </is>
      </c>
      <c r="D40" s="4" t="inlineStr">
        <is>
          <t>연초 계획·반기 실적 (6·12월)·경영검토</t>
        </is>
      </c>
      <c r="E40" s="4" t="inlineStr">
        <is>
          <t>2, 8</t>
        </is>
      </c>
      <c r="F40" s="4" t="inlineStr">
        <is>
          <t>작성연도 종료 후 5년</t>
        </is>
      </c>
    </row>
    <row r="41" ht="31.65" customHeight="1">
      <c r="A41" s="4" t="inlineStr">
        <is>
          <t>MF-04</t>
        </is>
      </c>
      <c r="B41" s="4" t="inlineStr">
        <is>
          <t>조직상황 이해관계자 위험 및 기회</t>
        </is>
      </c>
      <c r="C41" s="4" t="inlineStr">
        <is>
          <t>대표 / 품질·안전·환경</t>
        </is>
      </c>
      <c r="D41" s="4" t="inlineStr">
        <is>
          <t>최초·연 1회·주요 변화 시</t>
        </is>
      </c>
      <c r="E41" s="4" t="inlineStr">
        <is>
          <t>1.1</t>
        </is>
      </c>
      <c r="F41" s="4" t="inlineStr">
        <is>
          <t>작성연도 종료 후 5년</t>
        </is>
      </c>
    </row>
    <row r="42" ht="44.475" customHeight="1">
      <c r="A42" s="4" t="inlineStr">
        <is>
          <t>MF-05</t>
        </is>
      </c>
      <c r="B42" s="4" t="inlineStr">
        <is>
          <t>적용 표준 법규 및 기타 요구사항 준수평가</t>
        </is>
      </c>
      <c r="C42" s="4" t="inlineStr">
        <is>
          <t>왕리홍 대리·성문기 과장 / 품질</t>
        </is>
      </c>
      <c r="D42" s="4" t="inlineStr">
        <is>
          <t>최초·변경 시·반기 최신성 확인 (SF-08 때)·연 1회 평가</t>
        </is>
      </c>
      <c r="E42" s="4" t="inlineStr">
        <is>
          <t>1, 6, 7</t>
        </is>
      </c>
      <c r="F42" s="4" t="inlineStr">
        <is>
          <t>작성연도 종료 후 5년</t>
        </is>
      </c>
    </row>
    <row r="43" ht="31.65" customHeight="1">
      <c r="A43" s="4" t="inlineStr">
        <is>
          <t>MF-06</t>
        </is>
      </c>
      <c r="B43" s="4" t="inlineStr">
        <is>
          <t>근로자 협의 및 비상훈련 기록</t>
        </is>
      </c>
      <c r="C43" s="4" t="inlineStr">
        <is>
          <t>안전·환경 담당</t>
        </is>
      </c>
      <c r="D43" s="4" t="inlineStr">
        <is>
          <t>분기 1회 협의 / 연 1회 훈련 / 변경·실제 비상 후</t>
        </is>
      </c>
      <c r="E43" s="4" t="inlineStr">
        <is>
          <t>6, 7</t>
        </is>
      </c>
      <c r="F43" s="4" t="inlineStr">
        <is>
          <t>작성연도 종료 후 5년</t>
        </is>
      </c>
    </row>
    <row r="44" ht="20" customHeight="1">
      <c r="A44" s="5" t="n"/>
      <c r="B44" s="5" t="n"/>
      <c r="C44" s="5" t="n"/>
      <c r="D44" s="5" t="n"/>
      <c r="E44" s="5" t="n"/>
      <c r="F44" s="5" t="n"/>
    </row>
    <row r="45" ht="20" customHeight="1">
      <c r="A45" s="5" t="n"/>
      <c r="B45" s="5" t="n"/>
      <c r="C45" s="5" t="n"/>
      <c r="D45" s="5" t="n"/>
      <c r="E45" s="5" t="n"/>
      <c r="F45" s="5" t="n"/>
    </row>
    <row r="46" ht="20" customHeight="1">
      <c r="A46" s="5" t="n"/>
      <c r="B46" s="5" t="n"/>
      <c r="C46" s="5" t="n"/>
      <c r="D46" s="5" t="n"/>
      <c r="E46" s="5" t="n"/>
      <c r="F46" s="5" t="n"/>
    </row>
    <row r="47" ht="20" customHeight="1">
      <c r="A47" s="5" t="n"/>
      <c r="B47" s="5" t="n"/>
      <c r="C47" s="5" t="n"/>
      <c r="D47" s="5" t="n"/>
      <c r="E47" s="5" t="n"/>
      <c r="F47" s="5" t="n"/>
    </row>
    <row r="48" ht="20" customHeight="1">
      <c r="A48" s="5" t="n"/>
      <c r="B48" s="5" t="n"/>
      <c r="C48" s="5" t="n"/>
      <c r="D48" s="5" t="n"/>
      <c r="E48" s="5" t="n"/>
      <c r="F48" s="5" t="n"/>
    </row>
  </sheetData>
  <mergeCells count="4">
    <mergeCell ref="A3:F3"/>
    <mergeCell ref="A2:F2"/>
    <mergeCell ref="A6:F6"/>
    <mergeCell ref="A5:F5"/>
  </mergeCells>
  <printOptions horizontalCentered="1"/>
  <pageMargins left="0.45" right="0.45" top="0.5" bottom="0.55" header="0.25" footer="0.25"/>
  <pageSetup orientation="portrait" paperSize="9" fitToHeight="0" fitToWidth="1"/>
  <headerFooter>
    <oddHeader/>
    <oddFooter>&amp;C&amp;"Malgun Gothic"&amp;8 동인엔시스 | DI-IMS-F-01 Rev.00 | 페이지 &amp;P / 전체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E29"/>
  <sheetViews>
    <sheetView showGridLines="0" workbookViewId="0">
      <selection activeCell="A1" sqref="A1"/>
    </sheetView>
  </sheetViews>
  <sheetFormatPr baseColWidth="8" defaultRowHeight="15"/>
  <cols>
    <col width="8.1" customWidth="1" min="1" max="1"/>
    <col width="13.1" customWidth="1" min="2" max="2"/>
    <col width="41.4" customWidth="1" min="3" max="3"/>
    <col width="16.2" customWidth="1" min="4" max="4"/>
    <col width="16.2" customWidth="1" min="5" max="5"/>
  </cols>
  <sheetData>
    <row r="1" ht="22" customHeight="1"/>
    <row r="2" ht="28" customHeight="1">
      <c r="A2" s="1" t="inlineStr">
        <is>
          <t>기록양식집 개정 및 시행 승인</t>
        </is>
      </c>
      <c r="B2" s="1" t="n"/>
      <c r="C2" s="1" t="n"/>
      <c r="D2" s="1" t="n"/>
      <c r="E2" s="1" t="n"/>
    </row>
    <row r="3" ht="16" customHeight="1">
      <c r="A3" s="2" t="inlineStr">
        <is>
          <t>동인엔시스 | DI-IMS-F-01 | Rev.00 | 제정 2026.10.01 | 시행 2026.10.01 (대표 승인)</t>
        </is>
      </c>
      <c r="B3" s="2" t="n"/>
      <c r="C3" s="2" t="n"/>
      <c r="D3" s="2" t="n"/>
      <c r="E3" s="2" t="n"/>
    </row>
    <row r="4" ht="5" customHeight="1"/>
    <row r="5" ht="26.3" customHeight="1">
      <c r="A5" s="2" t="inlineStr">
        <is>
          <t>작성: 품질 담당 / 검토: 기술팀 총괄 및 안전·환경 담당 / 승인: 대표이사. 승인자·승인일·시행일을 직접 기록합니다. 서식의 개정일이 실제 시행·운영 기록의 일자를 대신하지 않습니다.</t>
        </is>
      </c>
      <c r="B5" s="2" t="n"/>
      <c r="C5" s="2" t="n"/>
      <c r="D5" s="2" t="n"/>
      <c r="E5" s="2" t="n"/>
    </row>
    <row r="6" ht="5" customHeight="1"/>
    <row r="7" ht="26" customHeight="1">
      <c r="A7" s="3" t="inlineStr">
        <is>
          <t>Rev</t>
        </is>
      </c>
      <c r="B7" s="3" t="inlineStr">
        <is>
          <t>개정일</t>
        </is>
      </c>
      <c r="C7" s="3" t="inlineStr">
        <is>
          <t>개정 내용</t>
        </is>
      </c>
      <c r="D7" s="3" t="inlineStr">
        <is>
          <t>작성·검토</t>
        </is>
      </c>
      <c r="E7" s="3" t="inlineStr">
        <is>
          <t>승인·시행일</t>
        </is>
      </c>
    </row>
    <row r="8" ht="44.475" customHeight="1">
      <c r="A8" s="4" t="inlineStr">
        <is>
          <t>00</t>
        </is>
      </c>
      <c r="B8" s="4" t="inlineStr">
        <is>
          <t>2026.10.01</t>
        </is>
      </c>
      <c r="C8" s="4" t="inlineStr">
        <is>
          <t>최초 제정 (통합경영 매뉴얼 DI-IMS-M-01 Rev.00과 함께 제정, 법정 안전보건 양식 SF-04~SF-10, 별지 QF-06-1·QF-13-2 포함)</t>
        </is>
      </c>
      <c r="D8" s="5" t="n"/>
      <c r="E8" s="4" t="inlineStr">
        <is>
          <t>2026.10.01 대표이사</t>
        </is>
      </c>
    </row>
    <row r="9" ht="82.95" customHeight="1">
      <c r="A9" s="4" t="inlineStr">
        <is>
          <t>00 (보완)</t>
        </is>
      </c>
      <c r="B9" s="4" t="inlineStr">
        <is>
          <t>2026.10.12</t>
        </is>
      </c>
      <c r="C9" s="4" t="inlineStr">
        <is>
          <t>법정·인증 필수 정리: SF-04에 관리감독자 지정·반기 평가, MF-05에 관리감독자·휴게시설·법정 의무교육·인원 기준, SF-05에 성희롱 예방·장애인 인식개선 교육, QF-13 외부 문서 추가 / 근로자 협의·표본 복구 분기, 목표 실적·법규 최신성·예산 집행 확인 반기(SF-08 때)로 조정</t>
        </is>
      </c>
      <c r="D9" s="5" t="n"/>
      <c r="E9" s="4" t="inlineStr">
        <is>
          <t>대표 승인 후 적용</t>
        </is>
      </c>
    </row>
    <row r="10" ht="26" customHeight="1">
      <c r="A10" s="5" t="n"/>
      <c r="B10" s="5" t="n"/>
      <c r="C10" s="5" t="n"/>
      <c r="D10" s="5" t="n"/>
      <c r="E10" s="5" t="n"/>
    </row>
    <row r="11" ht="26" customHeight="1">
      <c r="A11" s="5" t="n"/>
      <c r="B11" s="5" t="n"/>
      <c r="C11" s="5" t="n"/>
      <c r="D11" s="5" t="n"/>
      <c r="E11" s="5" t="n"/>
    </row>
    <row r="12" ht="10" customHeight="1"/>
    <row r="13" ht="26" customHeight="1">
      <c r="A13" s="3" t="inlineStr">
        <is>
          <t>시행 전 확인 항목 (매뉴얼 부록 D)</t>
        </is>
      </c>
      <c r="B13" s="3" t="n"/>
      <c r="C13" s="3" t="n"/>
      <c r="D13" s="3" t="inlineStr">
        <is>
          <t>확인 결과</t>
        </is>
      </c>
      <c r="E13" s="3" t="inlineStr">
        <is>
          <t>확인자·일자</t>
        </is>
      </c>
    </row>
    <row r="14" ht="24" customHeight="1">
      <c r="A14" s="4" t="inlineStr">
        <is>
          <t>1. 인증 범위·적용 규격 판본, 2026판 전환 계획 (MF-05)</t>
        </is>
      </c>
      <c r="B14" s="4" t="n"/>
      <c r="C14" s="4" t="n"/>
      <c r="D14" s="6" t="n"/>
      <c r="E14" s="5" t="n"/>
    </row>
    <row r="15" ht="24" customHeight="1">
      <c r="A15" s="4" t="inlineStr">
        <is>
          <t>2. 고객별 요구·최신 점검표 판본 (QF-14·MF-05)</t>
        </is>
      </c>
      <c r="B15" s="4" t="n"/>
      <c r="C15" s="4" t="n"/>
      <c r="D15" s="6" t="n"/>
      <c r="E15" s="5" t="n"/>
    </row>
    <row r="16" ht="24" customHeight="1">
      <c r="A16" s="4" t="inlineStr">
        <is>
          <t>3. 안전·환경 법규 적용 여부와 기록 보존기간 (MF-05)</t>
        </is>
      </c>
      <c r="B16" s="4" t="n"/>
      <c r="C16" s="4" t="n"/>
      <c r="D16" s="6" t="n"/>
      <c r="E16" s="5" t="n"/>
    </row>
    <row r="17" ht="24" customHeight="1">
      <c r="A17" s="4" t="inlineStr">
        <is>
          <t>4. 공용 저장소 실제 경로·접근권한·분리 백업·복구 확인 (QF-13·QF-13-2)</t>
        </is>
      </c>
      <c r="B17" s="4" t="n"/>
      <c r="C17" s="4" t="n"/>
      <c r="D17" s="6" t="n"/>
      <c r="E17" s="5" t="n"/>
    </row>
    <row r="18" ht="24" customHeight="1">
      <c r="A18" s="4" t="inlineStr">
        <is>
          <t>5. 안전보건관리담당자 선임 또는 위탁 증빙 (SF-04)</t>
        </is>
      </c>
      <c r="B18" s="4" t="n"/>
      <c r="C18" s="4" t="n"/>
      <c r="D18" s="6" t="n"/>
      <c r="E18" s="5" t="n"/>
    </row>
    <row r="19" ht="24" customHeight="1">
      <c r="A19" s="4" t="inlineStr">
        <is>
          <t>6. 연간 교육 계획·건강진단 대상·안전보건 예산 (SF-05·SF-06·SF-07)</t>
        </is>
      </c>
      <c r="B19" s="4" t="n"/>
      <c r="C19" s="4" t="n"/>
      <c r="D19" s="6" t="n"/>
      <c r="E19" s="5" t="n"/>
    </row>
    <row r="20" ht="24" customHeight="1">
      <c r="A20" s="4" t="inlineStr">
        <is>
          <t>7. 최초 위험성평가 일정 — 시행일부터 1개월 이내 (SF-01)</t>
        </is>
      </c>
      <c r="B20" s="4" t="n"/>
      <c r="C20" s="4" t="n"/>
      <c r="D20" s="6" t="n"/>
      <c r="E20" s="5" t="n"/>
    </row>
    <row r="21" ht="24" customHeight="1">
      <c r="A21" s="4" t="inlineStr">
        <is>
          <t>8. QF-15 기술기준 승인 책임자, 작업·검사 자격 (QF-12)</t>
        </is>
      </c>
      <c r="B21" s="4" t="n"/>
      <c r="C21" s="4" t="n"/>
      <c r="D21" s="6" t="n"/>
      <c r="E21" s="5" t="n"/>
    </row>
    <row r="22" ht="24" customHeight="1">
      <c r="A22" s="4" t="inlineStr">
        <is>
          <t>9. 내부심사원 독립성, 근로자 참여·비상훈련 준비 (MF-01·MF-06)</t>
        </is>
      </c>
      <c r="B22" s="4" t="n"/>
      <c r="C22" s="4" t="n"/>
      <c r="D22" s="6" t="n"/>
      <c r="E22" s="5" t="n"/>
    </row>
    <row r="23" ht="24" customHeight="1">
      <c r="A23" s="4" t="inlineStr">
        <is>
          <t>10. 모든 양식 참조·인쇄 상태 확인, 담당자 교육</t>
        </is>
      </c>
      <c r="B23" s="4" t="n"/>
      <c r="C23" s="4" t="n"/>
      <c r="D23" s="6" t="n"/>
      <c r="E23" s="5" t="n"/>
    </row>
    <row r="24" ht="24" customHeight="1">
      <c r="A24" s="4" t="inlineStr">
        <is>
          <t>11. 기존 초안·검토본 사용중지 표시, QF-13 배포 기록</t>
        </is>
      </c>
      <c r="B24" s="4" t="n"/>
      <c r="C24" s="4" t="n"/>
      <c r="D24" s="6" t="n"/>
      <c r="E24" s="5" t="n"/>
    </row>
    <row r="25" ht="6" customHeight="1"/>
    <row r="26" ht="30" customHeight="1">
      <c r="A26" s="7" t="inlineStr">
        <is>
          <t>첨부·대체 기록 번호와 보관 경로 / 적용 제외(해당없음) 사유 / 미결 확인 :</t>
        </is>
      </c>
      <c r="B26" s="7" t="n"/>
      <c r="C26" s="7" t="n"/>
      <c r="D26" s="7" t="n"/>
      <c r="E26" s="7" t="n"/>
    </row>
    <row r="27" ht="16" customHeight="1">
      <c r="A27" s="8" t="inlineStr">
        <is>
          <t>구분</t>
        </is>
      </c>
      <c r="B27" s="8" t="n"/>
      <c r="C27" s="8" t="inlineStr">
        <is>
          <t>작성(품질)</t>
        </is>
      </c>
      <c r="D27" s="8" t="inlineStr">
        <is>
          <t>검토(기술·안전·환경)</t>
        </is>
      </c>
      <c r="E27" s="8" t="inlineStr">
        <is>
          <t>승인(대표이사)</t>
        </is>
      </c>
    </row>
    <row r="28" ht="28" customHeight="1">
      <c r="A28" s="9" t="inlineStr">
        <is>
          <t>성명·서명</t>
        </is>
      </c>
      <c r="B28" s="9" t="n"/>
      <c r="C28" s="10" t="n"/>
      <c r="D28" s="10" t="n"/>
      <c r="E28" s="10" t="n"/>
    </row>
    <row r="29" ht="16" customHeight="1">
      <c r="A29" s="9" t="inlineStr">
        <is>
          <t>일자</t>
        </is>
      </c>
      <c r="B29" s="9" t="n"/>
      <c r="C29" s="10" t="n"/>
      <c r="D29" s="10" t="n"/>
      <c r="E29" s="10" t="n"/>
    </row>
  </sheetData>
  <mergeCells count="19">
    <mergeCell ref="A18:C18"/>
    <mergeCell ref="A21:C21"/>
    <mergeCell ref="A23:C23"/>
    <mergeCell ref="A14:C14"/>
    <mergeCell ref="A22:C22"/>
    <mergeCell ref="A17:C17"/>
    <mergeCell ref="A27:B27"/>
    <mergeCell ref="A20:C20"/>
    <mergeCell ref="A3:E3"/>
    <mergeCell ref="A13:C13"/>
    <mergeCell ref="A19:C19"/>
    <mergeCell ref="A26:E26"/>
    <mergeCell ref="A2:E2"/>
    <mergeCell ref="A5:E5"/>
    <mergeCell ref="A15:C15"/>
    <mergeCell ref="A24:C24"/>
    <mergeCell ref="A29:B29"/>
    <mergeCell ref="A28:B28"/>
    <mergeCell ref="A16:C16"/>
  </mergeCells>
  <dataValidations count="1">
    <dataValidation sqref="D14:D24" showDropDown="0" showInputMessage="0" showErrorMessage="0" allowBlank="1" error="목록에서 고르십시오: 확인, 미흡, 해당없음" type="list" errorStyle="warning">
      <formula1>"확인,미흡,해당없음"</formula1>
    </dataValidation>
  </dataValidations>
  <printOptions horizontalCentered="1"/>
  <pageMargins left="0.45" right="0.45" top="0.5" bottom="0.55" header="0.25" footer="0.25"/>
  <pageSetup orientation="portrait" paperSize="9" fitToHeight="1" fitToWidth="1"/>
  <headerFooter>
    <oddHeader/>
    <oddFooter>&amp;C&amp;"Malgun Gothic"&amp;8 동인엔시스 | DI-IMS-F-01 Rev.00 | 페이지 &amp;P / 전체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2:B16"/>
  <sheetViews>
    <sheetView showGridLines="0" workbookViewId="0">
      <selection activeCell="A1" sqref="A1"/>
    </sheetView>
  </sheetViews>
  <sheetFormatPr baseColWidth="8" defaultRowHeight="15"/>
  <cols>
    <col width="6.1" customWidth="1" min="1" max="1"/>
    <col width="88.90000000000001" customWidth="1" min="2" max="2"/>
  </cols>
  <sheetData>
    <row r="1" ht="22" customHeight="1"/>
    <row r="2" ht="28" customHeight="1">
      <c r="A2" s="1" t="inlineStr">
        <is>
          <t>기록 작성 및 대체 원칙</t>
        </is>
      </c>
      <c r="B2" s="1" t="n"/>
    </row>
    <row r="3" ht="16" customHeight="1">
      <c r="A3" s="2" t="inlineStr">
        <is>
          <t>동인엔시스 | DI-IMS-F-01 | Rev.00 | 제정 2026.10.01 | 시행 2026.10.01 (대표 승인)</t>
        </is>
      </c>
      <c r="B3" s="2" t="n"/>
    </row>
    <row r="4" ht="5" customHeight="1"/>
    <row r="5" ht="26" customHeight="1">
      <c r="A5" s="3" t="inlineStr">
        <is>
          <t>No</t>
        </is>
      </c>
      <c r="B5" s="3" t="inlineStr">
        <is>
          <t>작성 원칙</t>
        </is>
      </c>
    </row>
    <row r="6" ht="31.65" customHeight="1">
      <c r="A6" s="11" t="inlineStr">
        <is>
          <t>1</t>
        </is>
      </c>
      <c r="B6" s="4" t="inlineStr">
        <is>
          <t>표의 흰 칸이 입력 영역이고, 회색 칸은 미리 적힌 기준입니다. 빈칸은 합격을 뜻하지 않습니다. 해당없음은 이유와 승인자를 기록합니다.</t>
        </is>
      </c>
    </row>
    <row r="7" ht="31.65" customHeight="1">
      <c r="A7" s="11" t="inlineStr">
        <is>
          <t>2</t>
        </is>
      </c>
      <c r="B7" s="4" t="inlineStr">
        <is>
          <t>원본 빈 양식은 보존하고 프로젝트별 사본(시트 복사 또는 인쇄본)으로 작성합니다. 파일명: 프로젝트번호_양식번호_판넬번호_일자_Rev.</t>
        </is>
      </c>
    </row>
    <row r="8" ht="44.475" customHeight="1">
      <c r="A8" s="11" t="inlineStr">
        <is>
          <t>3</t>
        </is>
      </c>
      <c r="B8" s="4" t="inlineStr">
        <is>
          <t>프로젝트 번호는 수주 시 영업관리가 부여한 번호(ERP 수주번호)를 모든 기록에 똑같이 씁니다. 판넬은 도면 Tag(예: LCP-01)와 제조번호(프로젝트번호-순번)를 함께 적고 제조번호를 명판에 표시합니다. LOT 번호는 출하 단위인 판넬에만 부여하며 제조번호가 곧 판넬 LOT입니다. 부품에는 LOT를 따로 매기지 않습니다.</t>
        </is>
      </c>
    </row>
    <row r="9" ht="31.65" customHeight="1">
      <c r="A9" s="11" t="inlineStr">
        <is>
          <t>4</t>
        </is>
      </c>
      <c r="B9" s="4" t="inlineStr">
        <is>
          <t>프로젝트 기록은 PF-00부터 시작합니다. QF-15의 수치 기준·단위·시험조건이 승인되기 전 관련 발주·제작·시험을 진행하지 않습니다.</t>
        </is>
      </c>
    </row>
    <row r="10" ht="31.65" customHeight="1">
      <c r="A10" s="11" t="inlineStr">
        <is>
          <t>5</t>
        </is>
      </c>
      <c r="B10" s="4" t="inlineStr">
        <is>
          <t>고객 양식·ERP·기존 기록이 필수정보를 모두 포함하면 중복 작성하지 않습니다. PF-00/QF-13에 대체 기록의 번호·경로를 연결합니다.</t>
        </is>
      </c>
    </row>
    <row r="11" ht="31.65" customHeight="1">
      <c r="A11" s="11" t="inlineStr">
        <is>
          <t>6</t>
        </is>
      </c>
      <c r="B11" s="4" t="inlineStr">
        <is>
          <t>드롭다운 칸은 목록에서 고릅니다. 평균·등급·위험도·판정·집행률은 자동 계산되므로 직접 고치지 않습니다. 행이 모자라면 위 행을 복사해 표 중간에 삽입합니다(서식·수식 유지).</t>
        </is>
      </c>
    </row>
    <row r="12" ht="31.65" customHeight="1">
      <c r="A12" s="11" t="inlineStr">
        <is>
          <t>7</t>
        </is>
      </c>
      <c r="B12" s="4" t="inlineStr">
        <is>
          <t>1장 양식(단건 기록)은 A4 한 장에 맞춰 인쇄되고, 대장 양식은 행이 늘면 여러 장으로 나뉘며 표 머리글이 반복 인쇄됩니다.</t>
        </is>
      </c>
    </row>
    <row r="13" ht="31.65" customHeight="1">
      <c r="A13" s="11" t="inlineStr">
        <is>
          <t>8</t>
        </is>
      </c>
      <c r="B13" s="4" t="inlineStr">
        <is>
          <t>서명은 자필 서명 또는 전자 승인(ERP·메일) 증거로 합니다. 전자 승인은 승인자·일시가 남는 원본 경로를 첨부란에 적습니다.</t>
        </is>
      </c>
    </row>
    <row r="14" ht="31.65" customHeight="1">
      <c r="A14" s="11" t="inlineStr">
        <is>
          <t>9</t>
        </is>
      </c>
      <c r="B14" s="4" t="inlineStr">
        <is>
          <t>예시(실제 운영 기록 아님): 프로젝트 DI-EX-01 / 판넬 CP-01 (판넬 LOT DI-EX-01-01) / 입고 차단기 QF-03 합격 → QF-16 배선작업자·일자 → QF-05 숙련자 확인 → QF-06 실측값 → PF-00 품질 출하승인 → QF-04 출하일·납품처.</t>
        </is>
      </c>
    </row>
    <row r="15" ht="44.475" customHeight="1">
      <c r="A15" s="11" t="inlineStr">
        <is>
          <t>10</t>
        </is>
      </c>
      <c r="B15" s="4" t="inlineStr">
        <is>
          <t>필수 시점: 프로젝트 단계별 기록 / 통전 시작·상태변경·종료 SF-02 / 분기 협의(MF-06)·표본 복구(QF-13-2) / 6월·12월 SF-08 반기 점검 때 SF-04 평가·목표 실적·법규 최신성·예산·교육 실적 / 연간 내부심사·경영검토·위험/환경 재평가·비상훈련·공급자 재평가 / 연초 SF-05·SF-06·SF-07 계획 / 재해 발생 즉시 SF-10</t>
        </is>
      </c>
    </row>
    <row r="16" ht="31.65" customHeight="1">
      <c r="A16" s="11" t="inlineStr">
        <is>
          <t>11</t>
        </is>
      </c>
      <c r="B16" s="4" t="inlineStr">
        <is>
          <t>법규·고객계약이 더 엄격하면 그 요구를 따릅니다. 결과·서명·승인일은 실제 사실대로 남기고 소급하여 꾸미지 않습니다.</t>
        </is>
      </c>
    </row>
  </sheetData>
  <mergeCells count="2">
    <mergeCell ref="A3:B3"/>
    <mergeCell ref="A2:B2"/>
  </mergeCells>
  <printOptions horizontalCentered="1"/>
  <pageMargins left="0.45" right="0.45" top="0.5" bottom="0.55" header="0.25" footer="0.25"/>
  <pageSetup orientation="portrait" paperSize="9" fitToHeight="1" fitToWidth="1"/>
  <headerFooter>
    <oddHeader/>
    <oddFooter>&amp;C&amp;"Malgun Gothic"&amp;8 동인엔시스 | DI-IMS-F-01 Rev.00 | 페이지 &amp;P / 전체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2:G29"/>
  <sheetViews>
    <sheetView showGridLines="0" workbookViewId="0">
      <selection activeCell="A1" sqref="A1"/>
    </sheetView>
  </sheetViews>
  <sheetFormatPr baseColWidth="8" defaultRowHeight="15"/>
  <cols>
    <col width="11.9" customWidth="1" min="1" max="1"/>
    <col width="45.6" customWidth="1" min="2" max="2"/>
    <col width="23.9" customWidth="1" min="3" max="3"/>
    <col width="10.9" customWidth="1" min="4" max="4"/>
    <col width="20.6" customWidth="1" min="5" max="5"/>
    <col width="14.1" customWidth="1" min="6" max="6"/>
    <col width="13" customWidth="1" min="7" max="7"/>
  </cols>
  <sheetData>
    <row r="1" ht="22" customHeight="1"/>
    <row r="2" ht="28" customHeight="1">
      <c r="A2" s="1" t="inlineStr">
        <is>
          <t>프로젝트 수주검토 및 단계 승인</t>
        </is>
      </c>
      <c r="B2" s="1" t="n"/>
      <c r="C2" s="1" t="n"/>
      <c r="D2" s="1" t="n"/>
      <c r="E2" s="1" t="n"/>
      <c r="F2" s="1" t="n"/>
      <c r="G2" s="1" t="n"/>
    </row>
    <row r="3" ht="16" customHeight="1">
      <c r="A3" s="2" t="inlineStr">
        <is>
          <t>동인엔시스 | DI-PF-00 | Rev.00 | 제정 2026.10.01 | 시행 2026.10.01 (대표 승인)   ·   담당: 영업관리·품질 | 작성: 수주 전 / 단계 완료 시</t>
        </is>
      </c>
      <c r="B3" s="2" t="n"/>
      <c r="C3" s="2" t="n"/>
      <c r="D3" s="2" t="n"/>
      <c r="E3" s="2" t="n"/>
      <c r="F3" s="2" t="n"/>
      <c r="G3" s="2" t="n"/>
    </row>
    <row r="4" ht="4" customHeight="1"/>
    <row r="5" ht="20" customHeight="1">
      <c r="A5" s="12" t="inlineStr">
        <is>
          <t>프로젝트 번호</t>
        </is>
      </c>
      <c r="B5" s="10" t="n"/>
      <c r="C5" s="10" t="n"/>
      <c r="D5" s="12" t="inlineStr">
        <is>
          <t>고객</t>
        </is>
      </c>
      <c r="E5" s="10" t="n"/>
      <c r="F5" s="10" t="n"/>
      <c r="G5" s="10" t="n"/>
    </row>
    <row r="6" ht="28.3" customHeight="1">
      <c r="A6" s="12" t="inlineStr">
        <is>
          <t>프로젝트명·현장</t>
        </is>
      </c>
      <c r="B6" s="10" t="n"/>
      <c r="C6" s="12" t="inlineStr">
        <is>
          <t>판넬 번호·수량</t>
        </is>
      </c>
      <c r="D6" s="10" t="n"/>
      <c r="E6" s="10" t="n"/>
      <c r="F6" s="10" t="n"/>
      <c r="G6" s="10" t="n"/>
    </row>
    <row r="7" ht="20" customHeight="1">
      <c r="A7" s="12" t="inlineStr">
        <is>
          <t>계약·PO 번호</t>
        </is>
      </c>
      <c r="B7" s="10" t="n"/>
      <c r="C7" s="12" t="inlineStr">
        <is>
          <t>사양서 번호·Rev</t>
        </is>
      </c>
      <c r="D7" s="10" t="n"/>
      <c r="E7" s="10" t="n"/>
      <c r="F7" s="10" t="n"/>
      <c r="G7" s="10" t="n"/>
    </row>
    <row r="8" ht="20" customHeight="1">
      <c r="A8" s="12" t="inlineStr">
        <is>
          <t>납기</t>
        </is>
      </c>
      <c r="B8" s="10" t="n"/>
      <c r="C8" s="12" t="inlineStr">
        <is>
          <t>적용 법규·제품규격</t>
        </is>
      </c>
      <c r="D8" s="10" t="n"/>
      <c r="E8" s="10" t="n"/>
      <c r="F8" s="10" t="n"/>
      <c r="G8" s="10" t="n"/>
    </row>
    <row r="9" ht="28.3" customHeight="1">
      <c r="A9" s="12" t="inlineStr">
        <is>
          <t>고객 검사·입회·기록 요구</t>
        </is>
      </c>
      <c r="B9" s="10" t="n"/>
      <c r="C9" s="12" t="inlineStr">
        <is>
          <t>고객 승인도 필요 여부</t>
        </is>
      </c>
      <c r="D9" s="10" t="n"/>
      <c r="E9" s="10" t="n"/>
      <c r="F9" s="10" t="n"/>
      <c r="G9" s="10" t="n"/>
    </row>
    <row r="10" ht="28.3" customHeight="1">
      <c r="A10" s="12" t="inlineStr">
        <is>
          <t>보증기간·기산일·무상범위</t>
        </is>
      </c>
      <c r="B10" s="10" t="n"/>
      <c r="C10" s="12" t="inlineStr">
        <is>
          <t>포장·운송 조건</t>
        </is>
      </c>
      <c r="D10" s="10" t="n"/>
      <c r="E10" s="10" t="n"/>
      <c r="F10" s="10" t="n"/>
      <c r="G10" s="10" t="n"/>
    </row>
    <row r="11" ht="20" customHeight="1">
      <c r="A11" s="12" t="inlineStr">
        <is>
          <t>고객 지급품</t>
        </is>
      </c>
      <c r="B11" s="10" t="n"/>
      <c r="C11" s="12" t="inlineStr">
        <is>
          <t>미합의 사항·해결</t>
        </is>
      </c>
      <c r="D11" s="10" t="n"/>
      <c r="E11" s="10" t="n"/>
      <c r="F11" s="10" t="n"/>
      <c r="G11" s="10" t="n"/>
    </row>
    <row r="12" ht="20" customHeight="1">
      <c r="A12" s="12" t="inlineStr">
        <is>
          <t>수주 가능 판단</t>
        </is>
      </c>
      <c r="B12" s="10" t="n"/>
      <c r="C12" s="12" t="inlineStr">
        <is>
          <t>수주검토 확인자·일자</t>
        </is>
      </c>
      <c r="D12" s="10" t="n"/>
      <c r="E12" s="10" t="n"/>
      <c r="F12" s="10" t="n"/>
      <c r="G12" s="10" t="n"/>
    </row>
    <row r="13" ht="5" customHeight="1"/>
    <row r="14" ht="14.15" customHeight="1">
      <c r="A14" s="2" t="inlineStr">
        <is>
          <t>수주검토는 이 표지로 갈음한다(별도 수주검토서 없음). 견적서·계약서·고객 사양서는 01_수주고객 폴더에 보관한다.</t>
        </is>
      </c>
      <c r="B14" s="2" t="n"/>
      <c r="C14" s="2" t="n"/>
      <c r="D14" s="2" t="n"/>
      <c r="E14" s="2" t="n"/>
      <c r="F14" s="2" t="n"/>
      <c r="G14" s="2" t="n"/>
    </row>
    <row r="15" ht="14.15" customHeight="1">
      <c r="A15" s="2" t="inlineStr">
        <is>
          <t>제조·출하·SAT를 별도 승인한다. 출하 전 SAT 완료를 요구하지 않는다. 출하 승인은 품질 담당만 하며 필수기록 누락·불합격은 출하 보류. 해당없음은 사유와 품질 검토를 기록한다.</t>
        </is>
      </c>
      <c r="B15" s="2" t="n"/>
      <c r="C15" s="2" t="n"/>
      <c r="D15" s="2" t="n"/>
      <c r="E15" s="2" t="n"/>
      <c r="F15" s="2" t="n"/>
      <c r="G15" s="2" t="n"/>
    </row>
    <row r="16" ht="5" customHeight="1"/>
    <row r="17" ht="26" customHeight="1">
      <c r="A17" s="3" t="inlineStr">
        <is>
          <t>단계</t>
        </is>
      </c>
      <c r="B17" s="3" t="inlineStr">
        <is>
          <t>선행 조건·필수 기록</t>
        </is>
      </c>
      <c r="C17" s="3" t="inlineStr">
        <is>
          <t>기록번호·경로</t>
        </is>
      </c>
      <c r="D17" s="3" t="inlineStr">
        <is>
          <t>판정</t>
        </is>
      </c>
      <c r="E17" s="3" t="inlineStr">
        <is>
          <t>예외·특채 사유</t>
        </is>
      </c>
      <c r="F17" s="3" t="inlineStr">
        <is>
          <t>승인자</t>
        </is>
      </c>
      <c r="G17" s="3" t="inlineStr">
        <is>
          <t>승인일</t>
        </is>
      </c>
    </row>
    <row r="18" ht="24" customHeight="1">
      <c r="A18" s="4" t="inlineStr">
        <is>
          <t>수주</t>
        </is>
      </c>
      <c r="B18" s="4" t="inlineStr">
        <is>
          <t>계약 요구·규격·납기·보증·포장 조건 합의 / 미합의 해결</t>
        </is>
      </c>
      <c r="C18" s="5" t="n"/>
      <c r="D18" s="6" t="n"/>
      <c r="E18" s="5" t="n"/>
      <c r="F18" s="5" t="n"/>
      <c r="G18" s="5" t="n"/>
    </row>
    <row r="19" ht="31.65" customHeight="1">
      <c r="A19" s="4" t="inlineStr">
        <is>
          <t>설계</t>
        </is>
      </c>
      <c r="B19" s="4" t="inlineStr">
        <is>
          <t>QF-02 입력·검토·검증 / QF-15 기술기준 승인 / 고객 승인도(해당 시)</t>
        </is>
      </c>
      <c r="C19" s="5" t="n"/>
      <c r="D19" s="6" t="n"/>
      <c r="E19" s="5" t="n"/>
      <c r="F19" s="5" t="n"/>
      <c r="G19" s="5" t="n"/>
    </row>
    <row r="20" ht="24" customHeight="1">
      <c r="A20" s="4" t="inlineStr">
        <is>
          <t>구매·입고</t>
        </is>
      </c>
      <c r="B20" s="4" t="inlineStr">
        <is>
          <t>QF-10 승인 공급자 발주 / QF-03 판정 (부품 LOT 미부여)</t>
        </is>
      </c>
      <c r="C20" s="5" t="n"/>
      <c r="D20" s="6" t="n"/>
      <c r="E20" s="5" t="n"/>
      <c r="F20" s="5" t="n"/>
      <c r="G20" s="5" t="n"/>
    </row>
    <row r="21" ht="31.65" customHeight="1">
      <c r="A21" s="4" t="inlineStr">
        <is>
          <t>제작</t>
        </is>
      </c>
      <c r="B21" s="4" t="inlineStr">
        <is>
          <t>QF-16 공정 이동 / QF-05 작업자 검사·숙련자 확인 / 변경 반영</t>
        </is>
      </c>
      <c r="C21" s="5" t="n"/>
      <c r="D21" s="6" t="n"/>
      <c r="E21" s="5" t="n"/>
      <c r="F21" s="5" t="n"/>
      <c r="G21" s="5" t="n"/>
    </row>
    <row r="22" ht="44.475" customHeight="1">
      <c r="A22" s="4" t="inlineStr">
        <is>
          <t>출하</t>
        </is>
      </c>
      <c r="B22" s="4" t="inlineStr">
        <is>
          <t>QF-06 합격 · 최종 PLC(QF-08) · 포장 확인(QF-16) · 출하 영향 NCR 종결 또는 고객 특채 서면 · 판넬 LOT 출하 기록(QF-04)</t>
        </is>
      </c>
      <c r="C22" s="5" t="n"/>
      <c r="D22" s="6" t="n"/>
      <c r="E22" s="5" t="n"/>
      <c r="F22" s="5" t="n"/>
      <c r="G22" s="5" t="n"/>
    </row>
    <row r="23" ht="24" customHeight="1">
      <c r="A23" s="4" t="inlineStr">
        <is>
          <t>SAT·인수</t>
        </is>
      </c>
      <c r="B23" s="4" t="inlineStr">
        <is>
          <t>QF-07 기능·미결 종결·고객 인수 / SF-02·SF-03 해당 시</t>
        </is>
      </c>
      <c r="C23" s="5" t="n"/>
      <c r="D23" s="6" t="n"/>
      <c r="E23" s="5" t="n"/>
      <c r="F23" s="5" t="n"/>
      <c r="G23" s="5" t="n"/>
    </row>
    <row r="24" ht="44.475" customHeight="1">
      <c r="A24" s="4" t="inlineStr">
        <is>
          <t>종료</t>
        </is>
      </c>
      <c r="B24" s="4" t="inlineStr">
        <is>
          <t>최종 도면·PLC 백업 · 납품자료 · 고객재산 반환 · 보증 개시일 확정 · 배운 점 한 줄(표준 도면·PLC 라이브러리 반영 여부)</t>
        </is>
      </c>
      <c r="C24" s="5" t="n"/>
      <c r="D24" s="6" t="n"/>
      <c r="E24" s="5" t="n"/>
      <c r="F24" s="5" t="n"/>
      <c r="G24" s="5" t="n"/>
    </row>
    <row r="25" ht="24" customHeight="1">
      <c r="A25" s="5" t="n"/>
      <c r="B25" s="5" t="n"/>
      <c r="C25" s="5" t="n"/>
      <c r="D25" s="6" t="n"/>
      <c r="E25" s="5" t="n"/>
      <c r="F25" s="5" t="n"/>
      <c r="G25" s="5" t="n"/>
    </row>
    <row r="26" ht="6" customHeight="1"/>
    <row r="27" ht="16" customHeight="1">
      <c r="A27" s="7" t="inlineStr">
        <is>
          <t>첨부·대체 기록 번호와 보관 경로 / 적용 제외(해당없음) 사유 / 미결 확인 :</t>
        </is>
      </c>
      <c r="B27" s="13" t="n"/>
      <c r="C27" s="13" t="n"/>
      <c r="D27" s="8" t="inlineStr">
        <is>
          <t>구분</t>
        </is>
      </c>
      <c r="E27" s="8" t="inlineStr">
        <is>
          <t>작성</t>
        </is>
      </c>
      <c r="F27" s="8" t="inlineStr">
        <is>
          <t>검토</t>
        </is>
      </c>
      <c r="G27" s="8" t="inlineStr">
        <is>
          <t>승인</t>
        </is>
      </c>
    </row>
    <row r="28" ht="28" customHeight="1">
      <c r="A28" s="13" t="n"/>
      <c r="B28" s="13" t="n"/>
      <c r="C28" s="13" t="n"/>
      <c r="D28" s="9" t="inlineStr">
        <is>
          <t>성명·서명</t>
        </is>
      </c>
      <c r="E28" s="10" t="n"/>
      <c r="F28" s="10" t="n"/>
      <c r="G28" s="10" t="n"/>
    </row>
    <row r="29" ht="16" customHeight="1">
      <c r="A29" s="13" t="n"/>
      <c r="B29" s="13" t="n"/>
      <c r="C29" s="13" t="n"/>
      <c r="D29" s="9" t="inlineStr">
        <is>
          <t>일자</t>
        </is>
      </c>
      <c r="E29" s="10" t="n"/>
      <c r="F29" s="10" t="n"/>
      <c r="G29" s="10" t="n"/>
    </row>
  </sheetData>
  <mergeCells count="14">
    <mergeCell ref="A14:G14"/>
    <mergeCell ref="D9:G9"/>
    <mergeCell ref="D12:G12"/>
    <mergeCell ref="A3:G3"/>
    <mergeCell ref="B5:C5"/>
    <mergeCell ref="E5:G5"/>
    <mergeCell ref="D6:G6"/>
    <mergeCell ref="D8:G8"/>
    <mergeCell ref="A27:C29"/>
    <mergeCell ref="D7:G7"/>
    <mergeCell ref="A2:G2"/>
    <mergeCell ref="A15:G15"/>
    <mergeCell ref="D11:G11"/>
    <mergeCell ref="D10:G10"/>
  </mergeCells>
  <conditionalFormatting sqref="D18:D25">
    <cfRule type="expression" priority="1" dxfId="0">
      <formula>OR(D18="불합격",D18="보류",D18="부적합",D18="미흡",D18="미준수",D18="미확인",D18="실패",D18="사용금지",D18="중지·개선",D18="재교육·동행",D18="C 발주중지",D18="중요")</formula>
    </cfRule>
  </conditionalFormatting>
  <dataValidations count="1">
    <dataValidation sqref="D18:D25" showDropDown="0" showInputMessage="0" showErrorMessage="0" allowBlank="1" error="목록에서 고르십시오: 승인, 보류, 해당없음" type="list" errorStyle="warning">
      <formula1>"승인,보류,해당없음"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DI-PF-00 Rev.00 | 페이지 &amp;P / 전체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2:G29"/>
  <sheetViews>
    <sheetView showGridLines="0" workbookViewId="0">
      <selection activeCell="A1" sqref="A1"/>
    </sheetView>
  </sheetViews>
  <sheetFormatPr baseColWidth="8" defaultRowHeight="15"/>
  <cols>
    <col width="15.2" customWidth="1" min="1" max="1"/>
    <col width="32.6" customWidth="1" min="2" max="2"/>
    <col width="19.5" customWidth="1" min="3" max="3"/>
    <col width="21.7" customWidth="1" min="4" max="4"/>
    <col width="19.5" customWidth="1" min="5" max="5"/>
    <col width="14.1" customWidth="1" min="6" max="6"/>
    <col width="17.4" customWidth="1" min="7" max="7"/>
  </cols>
  <sheetData>
    <row r="1" ht="22" customHeight="1"/>
    <row r="2" ht="28" customHeight="1">
      <c r="A2" s="1" t="inlineStr">
        <is>
          <t>설계 계획 입력 검토 검증 및 변경 승인</t>
        </is>
      </c>
      <c r="B2" s="1" t="n"/>
      <c r="C2" s="1" t="n"/>
      <c r="D2" s="1" t="n"/>
      <c r="E2" s="1" t="n"/>
      <c r="F2" s="1" t="n"/>
      <c r="G2" s="1" t="n"/>
    </row>
    <row r="3" ht="16" customHeight="1">
      <c r="A3" s="2" t="inlineStr">
        <is>
          <t>동인엔시스 | DI-QF-02 | Rev.00 | 제정 2026.10.01 | 시행 2026.10.01 (대표 승인)   ·   담당: 설계·프로그램 / 기술팀 총괄 | 작성: 설계 착수·출도·변경 시</t>
        </is>
      </c>
      <c r="B3" s="2" t="n"/>
      <c r="C3" s="2" t="n"/>
      <c r="D3" s="2" t="n"/>
      <c r="E3" s="2" t="n"/>
      <c r="F3" s="2" t="n"/>
      <c r="G3" s="2" t="n"/>
    </row>
    <row r="4" ht="4" customHeight="1"/>
    <row r="5" ht="20" customHeight="1">
      <c r="A5" s="12" t="inlineStr">
        <is>
          <t>프로젝트 번호</t>
        </is>
      </c>
      <c r="B5" s="10" t="n"/>
      <c r="C5" s="12" t="inlineStr">
        <is>
          <t>판넬 번호</t>
        </is>
      </c>
      <c r="D5" s="10" t="n"/>
      <c r="E5" s="12" t="inlineStr">
        <is>
          <t>설계 책임자</t>
        </is>
      </c>
      <c r="F5" s="10" t="n"/>
      <c r="G5" s="10" t="n"/>
    </row>
    <row r="6" ht="20" customHeight="1">
      <c r="A6" s="12" t="inlineStr">
        <is>
          <t>검토자(설계자 외)</t>
        </is>
      </c>
      <c r="B6" s="10" t="n"/>
      <c r="C6" s="10" t="n"/>
      <c r="D6" s="10" t="n"/>
      <c r="E6" s="10" t="n"/>
      <c r="F6" s="10" t="n"/>
      <c r="G6" s="10" t="n"/>
    </row>
    <row r="7" ht="20" customHeight="1">
      <c r="A7" s="12" t="inlineStr">
        <is>
          <t>입력자료 목록·Rev</t>
        </is>
      </c>
      <c r="B7" s="10" t="n"/>
      <c r="C7" s="10" t="n"/>
      <c r="D7" s="10" t="n"/>
      <c r="E7" s="10" t="n"/>
      <c r="F7" s="10" t="n"/>
      <c r="G7" s="10" t="n"/>
    </row>
    <row r="8" ht="20" customHeight="1">
      <c r="A8" s="12" t="inlineStr">
        <is>
          <t>법규·규격·환경조건</t>
        </is>
      </c>
      <c r="B8" s="12" t="n"/>
      <c r="C8" s="10" t="n"/>
      <c r="D8" s="10" t="n"/>
      <c r="E8" s="10" t="n"/>
      <c r="F8" s="10" t="n"/>
      <c r="G8" s="10" t="n"/>
    </row>
    <row r="9" ht="20" customHeight="1">
      <c r="A9" s="12" t="inlineStr">
        <is>
          <t>단계 일정</t>
        </is>
      </c>
      <c r="B9" s="10" t="n"/>
      <c r="C9" s="10" t="n"/>
      <c r="D9" s="12" t="inlineStr">
        <is>
          <t>고객 승인도 필요 여부</t>
        </is>
      </c>
      <c r="E9" s="10" t="n"/>
      <c r="F9" s="10" t="n"/>
      <c r="G9" s="10" t="n"/>
    </row>
    <row r="10" ht="20" customHeight="1">
      <c r="A10" s="12" t="inlineStr">
        <is>
          <t>검토·검증·유효성 확인 방법</t>
        </is>
      </c>
      <c r="B10" s="12" t="n"/>
      <c r="C10" s="10" t="n"/>
      <c r="D10" s="10" t="n"/>
      <c r="E10" s="10" t="n"/>
      <c r="F10" s="10" t="n"/>
      <c r="G10" s="10" t="n"/>
    </row>
    <row r="11" ht="5" customHeight="1"/>
    <row r="12" ht="14.15" customHeight="1">
      <c r="A12" s="2" t="inlineStr">
        <is>
          <t>날짜·승인만 적지 말고 결과를 남긴다. 변경 시 기존 제품·재공품·안전·환경·고객 승인 영향을 확인한다. FAT만으로 모든 설계 검증을 대체하지 않는다.</t>
        </is>
      </c>
      <c r="B12" s="2" t="n"/>
      <c r="C12" s="2" t="n"/>
      <c r="D12" s="2" t="n"/>
      <c r="E12" s="2" t="n"/>
      <c r="F12" s="2" t="n"/>
      <c r="G12" s="2" t="n"/>
    </row>
    <row r="13" ht="14.15" customHeight="1">
      <c r="A13" s="2" t="inlineStr">
        <is>
          <t>부품 대체(동등품·타 메이커)는 변경으로 처리한다. 정격·치수·인증·고객 지정 메이커 여부를 검토하고, 고객 지정품이면 고객 서면 승인 후 BOM·QF-15를 개정한다.</t>
        </is>
      </c>
      <c r="B13" s="2" t="n"/>
      <c r="C13" s="2" t="n"/>
      <c r="D13" s="2" t="n"/>
      <c r="E13" s="2" t="n"/>
      <c r="F13" s="2" t="n"/>
      <c r="G13" s="2" t="n"/>
    </row>
    <row r="14" ht="5" customHeight="1"/>
    <row r="15" ht="26" customHeight="1">
      <c r="A15" s="3" t="inlineStr">
        <is>
          <t>단계·도면번호</t>
        </is>
      </c>
      <c r="B15" s="3" t="inlineStr">
        <is>
          <t>입력·출력 또는 변경내용</t>
        </is>
      </c>
      <c r="C15" s="3" t="inlineStr">
        <is>
          <t>검토·검증 방법</t>
        </is>
      </c>
      <c r="D15" s="3" t="inlineStr">
        <is>
          <t>결과·증거</t>
        </is>
      </c>
      <c r="E15" s="3" t="inlineStr">
        <is>
          <t>문제·조치·영향</t>
        </is>
      </c>
      <c r="F15" s="3" t="inlineStr">
        <is>
          <t>확인자·일자</t>
        </is>
      </c>
      <c r="G15" s="3" t="inlineStr">
        <is>
          <t>승인·배포·회수</t>
        </is>
      </c>
    </row>
    <row r="16" ht="31.65" customHeight="1">
      <c r="A16" s="4" t="inlineStr">
        <is>
          <t>입력검토</t>
        </is>
      </c>
      <c r="B16" s="4" t="inlineStr">
        <is>
          <t>사양·정격·부하·설치조건·I/O·인터록·안전 요구</t>
        </is>
      </c>
      <c r="C16" s="5" t="n"/>
      <c r="D16" s="5" t="n"/>
      <c r="E16" s="5" t="n"/>
      <c r="F16" s="5" t="n"/>
      <c r="G16" s="5" t="n"/>
    </row>
    <row r="17" ht="31.65" customHeight="1">
      <c r="A17" s="4" t="inlineStr">
        <is>
          <t>출력검토</t>
        </is>
      </c>
      <c r="B17" s="4" t="inlineStr">
        <is>
          <t>회로도·BOM·단자대도·배치도·PLC 사양·QF-15</t>
        </is>
      </c>
      <c r="C17" s="5" t="n"/>
      <c r="D17" s="5" t="n"/>
      <c r="E17" s="5" t="n"/>
      <c r="F17" s="5" t="n"/>
      <c r="G17" s="5" t="n"/>
    </row>
    <row r="18" ht="31.65" customHeight="1">
      <c r="A18" s="4" t="inlineStr">
        <is>
          <t>고객 승인도</t>
        </is>
      </c>
      <c r="B18" s="4" t="inlineStr">
        <is>
          <t>제출일·고객 코멘트 반영·승인일 (해당 시)</t>
        </is>
      </c>
      <c r="C18" s="5" t="n"/>
      <c r="D18" s="5" t="n"/>
      <c r="E18" s="5" t="n"/>
      <c r="F18" s="5" t="n"/>
      <c r="G18" s="5" t="n"/>
    </row>
    <row r="19" ht="31.65" customHeight="1">
      <c r="A19" s="4" t="inlineStr">
        <is>
          <t>설계검증</t>
        </is>
      </c>
      <c r="B19" s="4" t="inlineStr">
        <is>
          <t>입출력 대조·용량/보호협조/접지 검토·논리시험</t>
        </is>
      </c>
      <c r="C19" s="5" t="n"/>
      <c r="D19" s="5" t="n"/>
      <c r="E19" s="5" t="n"/>
      <c r="F19" s="5" t="n"/>
      <c r="G19" s="5" t="n"/>
    </row>
    <row r="20" ht="22" customHeight="1">
      <c r="A20" s="4" t="inlineStr">
        <is>
          <t>유효성확인</t>
        </is>
      </c>
      <c r="B20" s="4" t="inlineStr">
        <is>
          <t>FAT/SAT 사용조건 적합·고객 인수</t>
        </is>
      </c>
      <c r="C20" s="5" t="n"/>
      <c r="D20" s="5" t="n"/>
      <c r="E20" s="5" t="n"/>
      <c r="F20" s="5" t="n"/>
      <c r="G20" s="5" t="n"/>
    </row>
    <row r="21" ht="31.65" customHeight="1">
      <c r="A21" s="4" t="inlineStr">
        <is>
          <t>변경</t>
        </is>
      </c>
      <c r="B21" s="4" t="inlineStr">
        <is>
          <t>변경사유·대상 Rev·영향·재검증·구본 회수</t>
        </is>
      </c>
      <c r="C21" s="5" t="n"/>
      <c r="D21" s="5" t="n"/>
      <c r="E21" s="5" t="n"/>
      <c r="F21" s="5" t="n"/>
      <c r="G21" s="5" t="n"/>
    </row>
    <row r="22" ht="31.65" customHeight="1">
      <c r="A22" s="4" t="inlineStr">
        <is>
          <t>부품 대체</t>
        </is>
      </c>
      <c r="B22" s="4" t="inlineStr">
        <is>
          <t>대체 모델·정격·치수 비교·고객 승인·BOM Rev</t>
        </is>
      </c>
      <c r="C22" s="5" t="n"/>
      <c r="D22" s="5" t="n"/>
      <c r="E22" s="5" t="n"/>
      <c r="F22" s="5" t="n"/>
      <c r="G22" s="5" t="n"/>
    </row>
    <row r="23" ht="22" customHeight="1">
      <c r="A23" s="5" t="n"/>
      <c r="B23" s="5" t="n"/>
      <c r="C23" s="5" t="n"/>
      <c r="D23" s="5" t="n"/>
      <c r="E23" s="5" t="n"/>
      <c r="F23" s="5" t="n"/>
      <c r="G23" s="5" t="n"/>
    </row>
    <row r="24" ht="22" customHeight="1">
      <c r="A24" s="5" t="n"/>
      <c r="B24" s="5" t="n"/>
      <c r="C24" s="5" t="n"/>
      <c r="D24" s="5" t="n"/>
      <c r="E24" s="5" t="n"/>
      <c r="F24" s="5" t="n"/>
      <c r="G24" s="5" t="n"/>
    </row>
    <row r="25" ht="22" customHeight="1">
      <c r="A25" s="5" t="n"/>
      <c r="B25" s="5" t="n"/>
      <c r="C25" s="5" t="n"/>
      <c r="D25" s="5" t="n"/>
      <c r="E25" s="5" t="n"/>
      <c r="F25" s="5" t="n"/>
      <c r="G25" s="5" t="n"/>
    </row>
    <row r="26" ht="6" customHeight="1"/>
    <row r="27" ht="16" customHeight="1">
      <c r="A27" s="7" t="inlineStr">
        <is>
          <t>첨부·대체 기록 번호와 보관 경로 / 적용 제외(해당없음) 사유 / 미결 확인 :</t>
        </is>
      </c>
      <c r="B27" s="13" t="n"/>
      <c r="C27" s="13" t="n"/>
      <c r="D27" s="8" t="inlineStr">
        <is>
          <t>구분</t>
        </is>
      </c>
      <c r="E27" s="8" t="inlineStr">
        <is>
          <t>작성</t>
        </is>
      </c>
      <c r="F27" s="8" t="inlineStr">
        <is>
          <t>검토</t>
        </is>
      </c>
      <c r="G27" s="8" t="inlineStr">
        <is>
          <t>승인</t>
        </is>
      </c>
    </row>
    <row r="28" ht="28" customHeight="1">
      <c r="A28" s="13" t="n"/>
      <c r="B28" s="13" t="n"/>
      <c r="C28" s="13" t="n"/>
      <c r="D28" s="9" t="inlineStr">
        <is>
          <t>성명·서명</t>
        </is>
      </c>
      <c r="E28" s="10" t="n"/>
      <c r="F28" s="10" t="n"/>
      <c r="G28" s="10" t="n"/>
    </row>
    <row r="29" ht="16" customHeight="1">
      <c r="A29" s="13" t="n"/>
      <c r="B29" s="13" t="n"/>
      <c r="C29" s="13" t="n"/>
      <c r="D29" s="9" t="inlineStr">
        <is>
          <t>일자</t>
        </is>
      </c>
      <c r="E29" s="10" t="n"/>
      <c r="F29" s="10" t="n"/>
      <c r="G29" s="10" t="n"/>
    </row>
  </sheetData>
  <mergeCells count="14">
    <mergeCell ref="C8:G8"/>
    <mergeCell ref="A13:G13"/>
    <mergeCell ref="A27:C29"/>
    <mergeCell ref="A3:G3"/>
    <mergeCell ref="C10:G10"/>
    <mergeCell ref="F5:G5"/>
    <mergeCell ref="A10:B10"/>
    <mergeCell ref="A12:G12"/>
    <mergeCell ref="A2:G2"/>
    <mergeCell ref="E9:G9"/>
    <mergeCell ref="B9:C9"/>
    <mergeCell ref="A8:B8"/>
    <mergeCell ref="B7:G7"/>
    <mergeCell ref="B6:G6"/>
  </mergeCells>
  <printOptions horizontalCentered="1"/>
  <pageMargins left="0.45" right="0.45" top="0.5" bottom="0.55" header="0.25" footer="0.25"/>
  <pageSetup orientation="landscape" paperSize="9" fitToHeight="1" fitToWidth="1"/>
  <headerFooter>
    <oddHeader/>
    <oddFooter>&amp;C&amp;"Malgun Gothic"&amp;8 동인엔시스 | DI-QF-02 Rev.00 | 페이지 &amp;P / 전체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2:H25"/>
  <sheetViews>
    <sheetView showGridLines="0" workbookViewId="0">
      <pane ySplit="13" topLeftCell="A14" activePane="bottomLeft" state="frozen"/>
      <selection pane="bottomLeft" activeCell="A1" sqref="A1"/>
    </sheetView>
  </sheetViews>
  <sheetFormatPr baseColWidth="8" defaultRowHeight="15"/>
  <cols>
    <col width="23.9" customWidth="1" min="1" max="1"/>
    <col width="11.9" customWidth="1" min="2" max="2"/>
    <col width="19.5" customWidth="1" min="3" max="3"/>
    <col width="23.9" customWidth="1" min="4" max="4"/>
    <col width="19.5" customWidth="1" min="5" max="5"/>
    <col width="10.9" customWidth="1" min="6" max="6"/>
    <col width="15.2" customWidth="1" min="7" max="7"/>
    <col width="15.2" customWidth="1" min="8" max="8"/>
  </cols>
  <sheetData>
    <row r="1" ht="22" customHeight="1"/>
    <row r="2" ht="28" customHeight="1">
      <c r="A2" s="1" t="inlineStr">
        <is>
          <t>입고 검사 및 고객 지급품 확인</t>
        </is>
      </c>
      <c r="B2" s="1" t="n"/>
      <c r="C2" s="1" t="n"/>
      <c r="D2" s="1" t="n"/>
      <c r="E2" s="1" t="n"/>
      <c r="F2" s="1" t="n"/>
      <c r="G2" s="1" t="n"/>
      <c r="H2" s="1" t="n"/>
    </row>
    <row r="3" ht="16" customHeight="1">
      <c r="A3" s="2" t="inlineStr">
        <is>
          <t>동인엔시스 | DI-QF-03 | Rev.00 | 제정 2026.10.01 | 시행 2026.10.01 (대표 승인)   ·   담당: 생산관리 / 품질 | 작성: 입고별</t>
        </is>
      </c>
      <c r="B3" s="2" t="n"/>
      <c r="C3" s="2" t="n"/>
      <c r="D3" s="2" t="n"/>
      <c r="E3" s="2" t="n"/>
      <c r="F3" s="2" t="n"/>
      <c r="G3" s="2" t="n"/>
      <c r="H3" s="2" t="n"/>
    </row>
    <row r="4" ht="4" customHeight="1"/>
    <row r="5" ht="20" customHeight="1">
      <c r="A5" s="12" t="inlineStr">
        <is>
          <t>프로젝트 번호</t>
        </is>
      </c>
      <c r="B5" s="10" t="n"/>
      <c r="C5" s="10" t="n"/>
      <c r="D5" s="10" t="n"/>
      <c r="E5" s="12" t="inlineStr">
        <is>
          <t>발주서·입고번호</t>
        </is>
      </c>
      <c r="F5" s="10" t="n"/>
      <c r="G5" s="10" t="n"/>
      <c r="H5" s="10" t="n"/>
    </row>
    <row r="6" ht="20" customHeight="1">
      <c r="A6" s="12" t="inlineStr">
        <is>
          <t>공급자</t>
        </is>
      </c>
      <c r="B6" s="10" t="n"/>
      <c r="C6" s="10" t="n"/>
      <c r="D6" s="10" t="n"/>
      <c r="E6" s="12" t="inlineStr">
        <is>
          <t>입고일·검사일</t>
        </is>
      </c>
      <c r="F6" s="10" t="n"/>
      <c r="G6" s="10" t="n"/>
      <c r="H6" s="10" t="n"/>
    </row>
    <row r="7" ht="20" customHeight="1">
      <c r="A7" s="12" t="inlineStr">
        <is>
          <t>검사자</t>
        </is>
      </c>
      <c r="B7" s="10" t="n"/>
      <c r="C7" s="10" t="n"/>
      <c r="D7" s="10" t="n"/>
      <c r="E7" s="12" t="inlineStr">
        <is>
          <t>검사기준(QF-15 번호)</t>
        </is>
      </c>
      <c r="F7" s="10" t="n"/>
      <c r="G7" s="10" t="n"/>
      <c r="H7" s="10" t="n"/>
    </row>
    <row r="8" ht="20" customHeight="1">
      <c r="A8" s="12" t="inlineStr">
        <is>
          <t>고객 지급품 여부</t>
        </is>
      </c>
      <c r="B8" s="10" t="n"/>
      <c r="C8" s="10" t="n"/>
      <c r="D8" s="10" t="n"/>
      <c r="E8" s="12" t="inlineStr">
        <is>
          <t>관련 성적서·인증서</t>
        </is>
      </c>
      <c r="F8" s="10" t="n"/>
      <c r="G8" s="10" t="n"/>
      <c r="H8" s="10" t="n"/>
    </row>
    <row r="9" ht="5" customHeight="1"/>
    <row r="10" ht="14.15" customHeight="1">
      <c r="A10" s="2" t="inlineStr">
        <is>
          <t>주요 전기부품(인버터·PLC·차단기 등)·외함은 모델·정격/수량/외관·필수 성적서를 확인한다. 외함은 치수·가공·도장·접지점까지 확인한다. 소모품도 고객 지정·안전 중요·문제 발생 시 검사한다.</t>
        </is>
      </c>
      <c r="B10" s="2" t="n"/>
      <c r="C10" s="2" t="n"/>
      <c r="D10" s="2" t="n"/>
      <c r="E10" s="2" t="n"/>
      <c r="F10" s="2" t="n"/>
      <c r="G10" s="2" t="n"/>
      <c r="H10" s="2" t="n"/>
    </row>
    <row r="11" ht="26.3" customHeight="1">
      <c r="A11" s="2" t="inlineStr">
        <is>
          <t>합격품만 불출한다. 불합격·보류품은 '부적합' 표시 후 격리하고 QF-09로 처리한다. 고객 지급품은 소유자·수량·상태를 확인하고 손상 시 고객에 통보한다. 부품에는 LOT 번호를 따로 매기지 않는다(LOT는 판넬에만, QF-04).</t>
        </is>
      </c>
      <c r="B11" s="2" t="n"/>
      <c r="C11" s="2" t="n"/>
      <c r="D11" s="2" t="n"/>
      <c r="E11" s="2" t="n"/>
      <c r="F11" s="2" t="n"/>
      <c r="G11" s="2" t="n"/>
      <c r="H11" s="2" t="n"/>
    </row>
    <row r="12" ht="5" customHeight="1"/>
    <row r="13" ht="31.65" customHeight="1">
      <c r="A13" s="3" t="inlineStr">
        <is>
          <t>품명·모델</t>
        </is>
      </c>
      <c r="B13" s="3" t="inlineStr">
        <is>
          <t>발주/입고 수량</t>
        </is>
      </c>
      <c r="C13" s="3" t="inlineStr">
        <is>
          <t>적용 판넬 LOT</t>
        </is>
      </c>
      <c r="D13" s="3" t="inlineStr">
        <is>
          <t>기준·검사방법</t>
        </is>
      </c>
      <c r="E13" s="3" t="inlineStr">
        <is>
          <t>결과·측정값</t>
        </is>
      </c>
      <c r="F13" s="3" t="inlineStr">
        <is>
          <t>판정</t>
        </is>
      </c>
      <c r="G13" s="3" t="inlineStr">
        <is>
          <t>NCR·성적서</t>
        </is>
      </c>
      <c r="H13" s="3" t="inlineStr">
        <is>
          <t>확인자·일자</t>
        </is>
      </c>
    </row>
    <row r="14" ht="24" customHeight="1">
      <c r="A14" s="5" t="n"/>
      <c r="B14" s="5" t="n"/>
      <c r="C14" s="5" t="n"/>
      <c r="D14" s="5" t="n"/>
      <c r="E14" s="5" t="n"/>
      <c r="F14" s="6" t="n"/>
      <c r="G14" s="5" t="n"/>
      <c r="H14" s="5" t="n"/>
    </row>
    <row r="15" ht="24" customHeight="1">
      <c r="A15" s="5" t="n"/>
      <c r="B15" s="5" t="n"/>
      <c r="C15" s="5" t="n"/>
      <c r="D15" s="5" t="n"/>
      <c r="E15" s="5" t="n"/>
      <c r="F15" s="6" t="n"/>
      <c r="G15" s="5" t="n"/>
      <c r="H15" s="5" t="n"/>
    </row>
    <row r="16" ht="24" customHeight="1">
      <c r="A16" s="5" t="n"/>
      <c r="B16" s="5" t="n"/>
      <c r="C16" s="5" t="n"/>
      <c r="D16" s="5" t="n"/>
      <c r="E16" s="5" t="n"/>
      <c r="F16" s="6" t="n"/>
      <c r="G16" s="5" t="n"/>
      <c r="H16" s="5" t="n"/>
    </row>
    <row r="17" ht="24" customHeight="1">
      <c r="A17" s="5" t="n"/>
      <c r="B17" s="5" t="n"/>
      <c r="C17" s="5" t="n"/>
      <c r="D17" s="5" t="n"/>
      <c r="E17" s="5" t="n"/>
      <c r="F17" s="6" t="n"/>
      <c r="G17" s="5" t="n"/>
      <c r="H17" s="5" t="n"/>
    </row>
    <row r="18" ht="24" customHeight="1">
      <c r="A18" s="5" t="n"/>
      <c r="B18" s="5" t="n"/>
      <c r="C18" s="5" t="n"/>
      <c r="D18" s="5" t="n"/>
      <c r="E18" s="5" t="n"/>
      <c r="F18" s="6" t="n"/>
      <c r="G18" s="5" t="n"/>
      <c r="H18" s="5" t="n"/>
    </row>
    <row r="19" ht="24" customHeight="1">
      <c r="A19" s="5" t="n"/>
      <c r="B19" s="5" t="n"/>
      <c r="C19" s="5" t="n"/>
      <c r="D19" s="5" t="n"/>
      <c r="E19" s="5" t="n"/>
      <c r="F19" s="6" t="n"/>
      <c r="G19" s="5" t="n"/>
      <c r="H19" s="5" t="n"/>
    </row>
    <row r="20" ht="24" customHeight="1">
      <c r="A20" s="5" t="n"/>
      <c r="B20" s="5" t="n"/>
      <c r="C20" s="5" t="n"/>
      <c r="D20" s="5" t="n"/>
      <c r="E20" s="5" t="n"/>
      <c r="F20" s="6" t="n"/>
      <c r="G20" s="5" t="n"/>
      <c r="H20" s="5" t="n"/>
    </row>
    <row r="21" ht="24" customHeight="1">
      <c r="A21" s="5" t="n"/>
      <c r="B21" s="5" t="n"/>
      <c r="C21" s="5" t="n"/>
      <c r="D21" s="5" t="n"/>
      <c r="E21" s="5" t="n"/>
      <c r="F21" s="6" t="n"/>
      <c r="G21" s="5" t="n"/>
      <c r="H21" s="5" t="n"/>
    </row>
    <row r="22" ht="6" customHeight="1"/>
    <row r="23" ht="16" customHeight="1">
      <c r="A23" s="7" t="inlineStr">
        <is>
          <t>첨부·대체 기록 번호와 보관 경로 / 적용 제외(해당없음) 사유 / 미결 확인 :</t>
        </is>
      </c>
      <c r="B23" s="13" t="n"/>
      <c r="C23" s="13" t="n"/>
      <c r="D23" s="13" t="n"/>
      <c r="E23" s="8" t="inlineStr">
        <is>
          <t>구분</t>
        </is>
      </c>
      <c r="F23" s="8" t="inlineStr">
        <is>
          <t>작성</t>
        </is>
      </c>
      <c r="G23" s="8" t="inlineStr">
        <is>
          <t>검토</t>
        </is>
      </c>
      <c r="H23" s="8" t="inlineStr">
        <is>
          <t>승인</t>
        </is>
      </c>
    </row>
    <row r="24" ht="28" customHeight="1">
      <c r="A24" s="13" t="n"/>
      <c r="B24" s="13" t="n"/>
      <c r="C24" s="13" t="n"/>
      <c r="D24" s="13" t="n"/>
      <c r="E24" s="9" t="inlineStr">
        <is>
          <t>성명·서명</t>
        </is>
      </c>
      <c r="F24" s="10" t="n"/>
      <c r="G24" s="10" t="n"/>
      <c r="H24" s="10" t="n"/>
    </row>
    <row r="25" ht="16" customHeight="1">
      <c r="A25" s="13" t="n"/>
      <c r="B25" s="13" t="n"/>
      <c r="C25" s="13" t="n"/>
      <c r="D25" s="13" t="n"/>
      <c r="E25" s="9" t="inlineStr">
        <is>
          <t>일자</t>
        </is>
      </c>
      <c r="F25" s="10" t="n"/>
      <c r="G25" s="10" t="n"/>
      <c r="H25" s="10" t="n"/>
    </row>
  </sheetData>
  <mergeCells count="13">
    <mergeCell ref="A3:H3"/>
    <mergeCell ref="B5:D5"/>
    <mergeCell ref="F6:H6"/>
    <mergeCell ref="F5:H5"/>
    <mergeCell ref="A23:D25"/>
    <mergeCell ref="A2:H2"/>
    <mergeCell ref="B8:D8"/>
    <mergeCell ref="A10:H10"/>
    <mergeCell ref="F8:H8"/>
    <mergeCell ref="A11:H11"/>
    <mergeCell ref="F7:H7"/>
    <mergeCell ref="B7:D7"/>
    <mergeCell ref="B6:D6"/>
  </mergeCells>
  <conditionalFormatting sqref="F14:F21">
    <cfRule type="expression" priority="1" dxfId="0">
      <formula>OR(F14="불합격",F14="보류",F14="부적합",F14="미흡",F14="미준수",F14="미확인",F14="실패",F14="사용금지",F14="중지·개선",F14="재교육·동행",F14="C 발주중지",F14="중요")</formula>
    </cfRule>
  </conditionalFormatting>
  <dataValidations count="1">
    <dataValidation sqref="F14:F21"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DI-QF-03 Rev.00 | 페이지 &amp;P / 전체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2:J41"/>
  <sheetViews>
    <sheetView showGridLines="0" workbookViewId="0">
      <pane ySplit="11" topLeftCell="A12" activePane="bottomLeft" state="frozen"/>
      <selection pane="bottomLeft" activeCell="A1" sqref="A1"/>
    </sheetView>
  </sheetViews>
  <sheetFormatPr baseColWidth="8" defaultRowHeight="15"/>
  <cols>
    <col width="16.7" customWidth="1" min="1" max="1"/>
    <col width="15.7" customWidth="1" min="2" max="2"/>
    <col width="12.5" customWidth="1" min="3" max="3"/>
    <col width="11.5" customWidth="1" min="4" max="4"/>
    <col width="13.6" customWidth="1" min="5" max="5"/>
    <col width="13.6" customWidth="1" min="6" max="6"/>
    <col width="16.7" customWidth="1" min="7" max="7"/>
    <col width="11.5" customWidth="1" min="8" max="8"/>
    <col width="17.8" customWidth="1" min="9" max="9"/>
    <col width="10.4" customWidth="1" min="10" max="10"/>
  </cols>
  <sheetData>
    <row r="1" ht="22" customHeight="1"/>
    <row r="2" ht="28" customHeight="1">
      <c r="A2" s="1" t="inlineStr">
        <is>
          <t>판넬 LOT 및 출하 이력</t>
        </is>
      </c>
      <c r="B2" s="1" t="n"/>
      <c r="C2" s="1" t="n"/>
      <c r="D2" s="1" t="n"/>
      <c r="E2" s="1" t="n"/>
      <c r="F2" s="1" t="n"/>
      <c r="G2" s="1" t="n"/>
      <c r="H2" s="1" t="n"/>
      <c r="I2" s="1" t="n"/>
      <c r="J2" s="1" t="n"/>
    </row>
    <row r="3" ht="16" customHeight="1">
      <c r="A3" s="2" t="inlineStr">
        <is>
          <t>동인엔시스 | DI-QF-04 | Rev.00 | 제정 2026.10.01 | 시행 2026.10.01 (대표 승인)   ·   담당: 생산관리 / 품질 | 작성: 판넬 출하·인수·AS 시</t>
        </is>
      </c>
      <c r="B3" s="2" t="n"/>
      <c r="C3" s="2" t="n"/>
      <c r="D3" s="2" t="n"/>
      <c r="E3" s="2" t="n"/>
      <c r="F3" s="2" t="n"/>
      <c r="G3" s="2" t="n"/>
      <c r="H3" s="2" t="n"/>
      <c r="I3" s="2" t="n"/>
      <c r="J3" s="2" t="n"/>
    </row>
    <row r="4" ht="4" customHeight="1"/>
    <row r="5" ht="20" customHeight="1">
      <c r="A5" s="12" t="inlineStr">
        <is>
          <t>프로젝트 번호</t>
        </is>
      </c>
      <c r="B5" s="10" t="n"/>
      <c r="C5" s="10" t="n"/>
      <c r="D5" s="12" t="inlineStr">
        <is>
          <t>고객</t>
        </is>
      </c>
      <c r="E5" s="10" t="n"/>
      <c r="F5" s="10" t="n"/>
      <c r="G5" s="12" t="inlineStr">
        <is>
          <t>프로젝트명·현장</t>
        </is>
      </c>
      <c r="H5" s="10" t="n"/>
      <c r="I5" s="10" t="n"/>
      <c r="J5" s="10" t="n"/>
    </row>
    <row r="6" ht="20" customHeight="1">
      <c r="A6" s="12" t="inlineStr">
        <is>
          <t>판넬 수량</t>
        </is>
      </c>
      <c r="B6" s="10" t="n"/>
      <c r="C6" s="10" t="n"/>
      <c r="D6" s="12" t="inlineStr">
        <is>
          <t>작성자</t>
        </is>
      </c>
      <c r="E6" s="10" t="n"/>
      <c r="F6" s="10" t="n"/>
      <c r="G6" s="10" t="n"/>
      <c r="H6" s="12" t="inlineStr">
        <is>
          <t>품질 확인자</t>
        </is>
      </c>
      <c r="I6" s="10" t="n"/>
      <c r="J6" s="10" t="n"/>
    </row>
    <row r="7" ht="5" customHeight="1"/>
    <row r="8" ht="26.3" customHeight="1">
      <c r="A8" s="2" t="inlineStr">
        <is>
          <t>LOT 번호는 출하 단위인 판넬에만 부여한다. 판넬 LOT = 제조번호(프로젝트번호-순번)이며 명판·QF-05·QF-06·QF-16·SF-02·출하서류에 같은 번호를 쓴다. 한 번 부여한 번호는 다시 쓰지 않는다. 배선 확인=QF-05, FAT=QF-06, 출하 승인=PF-00, SAT=QF-07, AS=QF-09.</t>
        </is>
      </c>
      <c r="B8" s="2" t="n"/>
      <c r="C8" s="2" t="n"/>
      <c r="D8" s="2" t="n"/>
      <c r="E8" s="2" t="n"/>
      <c r="F8" s="2" t="n"/>
      <c r="G8" s="2" t="n"/>
      <c r="H8" s="2" t="n"/>
      <c r="I8" s="2" t="n"/>
      <c r="J8" s="2" t="n"/>
    </row>
    <row r="9" ht="26.3" customHeight="1">
      <c r="A9" s="2" t="inlineStr">
        <is>
          <t>부품에는 LOT 번호를 따로 매기지 않는다. 부품은 판넬 LOT → BOM(도면 Rev) → 입고 기록(QF-03 발주·입고번호)으로 거슬러 확인한다. 고객이 부품 시리얼 목록을 요구하면 비고에 첨부 경로를 적는다. AS 교체·변경은 지우지 않고 이력에 덧붙인다.</t>
        </is>
      </c>
      <c r="B9" s="2" t="n"/>
      <c r="C9" s="2" t="n"/>
      <c r="D9" s="2" t="n"/>
      <c r="E9" s="2" t="n"/>
      <c r="F9" s="2" t="n"/>
      <c r="G9" s="2" t="n"/>
      <c r="H9" s="2" t="n"/>
      <c r="I9" s="2" t="n"/>
      <c r="J9" s="2" t="n"/>
    </row>
    <row r="10" ht="5" customHeight="1"/>
    <row r="11" ht="31.65" customHeight="1">
      <c r="A11" s="3" t="inlineStr">
        <is>
          <t>판넬 LOT (제조번호)</t>
        </is>
      </c>
      <c r="B11" s="3" t="inlineStr">
        <is>
          <t>도면 Tag·설명</t>
        </is>
      </c>
      <c r="C11" s="3" t="inlineStr">
        <is>
          <t>도면 Rev / PLC</t>
        </is>
      </c>
      <c r="D11" s="3" t="inlineStr">
        <is>
          <t>배선 확인일</t>
        </is>
      </c>
      <c r="E11" s="3" t="inlineStr">
        <is>
          <t>FAT 판정·일자</t>
        </is>
      </c>
      <c r="F11" s="3" t="inlineStr">
        <is>
          <t>출하 승인·일자</t>
        </is>
      </c>
      <c r="G11" s="3" t="inlineStr">
        <is>
          <t>납품처·설치 위치</t>
        </is>
      </c>
      <c r="H11" s="3" t="inlineStr">
        <is>
          <t>SAT·인수일</t>
        </is>
      </c>
      <c r="I11" s="3" t="inlineStr">
        <is>
          <t>변경·AS 이력</t>
        </is>
      </c>
      <c r="J11" s="3" t="inlineStr">
        <is>
          <t>비고</t>
        </is>
      </c>
    </row>
    <row r="12" ht="26" customHeight="1">
      <c r="A12" s="5" t="n"/>
      <c r="B12" s="5" t="n"/>
      <c r="C12" s="5" t="n"/>
      <c r="D12" s="5" t="n"/>
      <c r="E12" s="5" t="n"/>
      <c r="F12" s="5" t="n"/>
      <c r="G12" s="5" t="n"/>
      <c r="H12" s="5" t="n"/>
      <c r="I12" s="5" t="n"/>
      <c r="J12" s="5" t="n"/>
    </row>
    <row r="13" ht="26" customHeight="1">
      <c r="A13" s="5" t="n"/>
      <c r="B13" s="5" t="n"/>
      <c r="C13" s="5" t="n"/>
      <c r="D13" s="5" t="n"/>
      <c r="E13" s="5" t="n"/>
      <c r="F13" s="5" t="n"/>
      <c r="G13" s="5" t="n"/>
      <c r="H13" s="5" t="n"/>
      <c r="I13" s="5" t="n"/>
      <c r="J13" s="5" t="n"/>
    </row>
    <row r="14" ht="26" customHeight="1">
      <c r="A14" s="5" t="n"/>
      <c r="B14" s="5" t="n"/>
      <c r="C14" s="5" t="n"/>
      <c r="D14" s="5" t="n"/>
      <c r="E14" s="5" t="n"/>
      <c r="F14" s="5" t="n"/>
      <c r="G14" s="5" t="n"/>
      <c r="H14" s="5" t="n"/>
      <c r="I14" s="5" t="n"/>
      <c r="J14" s="5" t="n"/>
    </row>
    <row r="15" ht="26" customHeight="1">
      <c r="A15" s="5" t="n"/>
      <c r="B15" s="5" t="n"/>
      <c r="C15" s="5" t="n"/>
      <c r="D15" s="5" t="n"/>
      <c r="E15" s="5" t="n"/>
      <c r="F15" s="5" t="n"/>
      <c r="G15" s="5" t="n"/>
      <c r="H15" s="5" t="n"/>
      <c r="I15" s="5" t="n"/>
      <c r="J15" s="5" t="n"/>
    </row>
    <row r="16" ht="26" customHeight="1">
      <c r="A16" s="5" t="n"/>
      <c r="B16" s="5" t="n"/>
      <c r="C16" s="5" t="n"/>
      <c r="D16" s="5" t="n"/>
      <c r="E16" s="5" t="n"/>
      <c r="F16" s="5" t="n"/>
      <c r="G16" s="5" t="n"/>
      <c r="H16" s="5" t="n"/>
      <c r="I16" s="5" t="n"/>
      <c r="J16" s="5" t="n"/>
    </row>
    <row r="17" ht="26" customHeight="1">
      <c r="A17" s="5" t="n"/>
      <c r="B17" s="5" t="n"/>
      <c r="C17" s="5" t="n"/>
      <c r="D17" s="5" t="n"/>
      <c r="E17" s="5" t="n"/>
      <c r="F17" s="5" t="n"/>
      <c r="G17" s="5" t="n"/>
      <c r="H17" s="5" t="n"/>
      <c r="I17" s="5" t="n"/>
      <c r="J17" s="5" t="n"/>
    </row>
    <row r="18" ht="26" customHeight="1">
      <c r="A18" s="5" t="n"/>
      <c r="B18" s="5" t="n"/>
      <c r="C18" s="5" t="n"/>
      <c r="D18" s="5" t="n"/>
      <c r="E18" s="5" t="n"/>
      <c r="F18" s="5" t="n"/>
      <c r="G18" s="5" t="n"/>
      <c r="H18" s="5" t="n"/>
      <c r="I18" s="5" t="n"/>
      <c r="J18" s="5" t="n"/>
    </row>
    <row r="19" ht="26" customHeight="1">
      <c r="A19" s="5" t="n"/>
      <c r="B19" s="5" t="n"/>
      <c r="C19" s="5" t="n"/>
      <c r="D19" s="5" t="n"/>
      <c r="E19" s="5" t="n"/>
      <c r="F19" s="5" t="n"/>
      <c r="G19" s="5" t="n"/>
      <c r="H19" s="5" t="n"/>
      <c r="I19" s="5" t="n"/>
      <c r="J19" s="5" t="n"/>
    </row>
    <row r="20" ht="26" customHeight="1">
      <c r="A20" s="5" t="n"/>
      <c r="B20" s="5" t="n"/>
      <c r="C20" s="5" t="n"/>
      <c r="D20" s="5" t="n"/>
      <c r="E20" s="5" t="n"/>
      <c r="F20" s="5" t="n"/>
      <c r="G20" s="5" t="n"/>
      <c r="H20" s="5" t="n"/>
      <c r="I20" s="5" t="n"/>
      <c r="J20" s="5" t="n"/>
    </row>
    <row r="21" ht="26" customHeight="1">
      <c r="A21" s="5" t="n"/>
      <c r="B21" s="5" t="n"/>
      <c r="C21" s="5" t="n"/>
      <c r="D21" s="5" t="n"/>
      <c r="E21" s="5" t="n"/>
      <c r="F21" s="5" t="n"/>
      <c r="G21" s="5" t="n"/>
      <c r="H21" s="5" t="n"/>
      <c r="I21" s="5" t="n"/>
      <c r="J21" s="5" t="n"/>
    </row>
    <row r="22" ht="26" customHeight="1">
      <c r="A22" s="5" t="n"/>
      <c r="B22" s="5" t="n"/>
      <c r="C22" s="5" t="n"/>
      <c r="D22" s="5" t="n"/>
      <c r="E22" s="5" t="n"/>
      <c r="F22" s="5" t="n"/>
      <c r="G22" s="5" t="n"/>
      <c r="H22" s="5" t="n"/>
      <c r="I22" s="5" t="n"/>
      <c r="J22" s="5" t="n"/>
    </row>
    <row r="23" ht="26" customHeight="1">
      <c r="A23" s="5" t="n"/>
      <c r="B23" s="5" t="n"/>
      <c r="C23" s="5" t="n"/>
      <c r="D23" s="5" t="n"/>
      <c r="E23" s="5" t="n"/>
      <c r="F23" s="5" t="n"/>
      <c r="G23" s="5" t="n"/>
      <c r="H23" s="5" t="n"/>
      <c r="I23" s="5" t="n"/>
      <c r="J23" s="5" t="n"/>
    </row>
    <row r="24" ht="26" customHeight="1">
      <c r="A24" s="5" t="n"/>
      <c r="B24" s="5" t="n"/>
      <c r="C24" s="5" t="n"/>
      <c r="D24" s="5" t="n"/>
      <c r="E24" s="5" t="n"/>
      <c r="F24" s="5" t="n"/>
      <c r="G24" s="5" t="n"/>
      <c r="H24" s="5" t="n"/>
      <c r="I24" s="5" t="n"/>
      <c r="J24" s="5" t="n"/>
    </row>
    <row r="25" ht="26" customHeight="1">
      <c r="A25" s="5" t="n"/>
      <c r="B25" s="5" t="n"/>
      <c r="C25" s="5" t="n"/>
      <c r="D25" s="5" t="n"/>
      <c r="E25" s="5" t="n"/>
      <c r="F25" s="5" t="n"/>
      <c r="G25" s="5" t="n"/>
      <c r="H25" s="5" t="n"/>
      <c r="I25" s="5" t="n"/>
      <c r="J25" s="5" t="n"/>
    </row>
    <row r="26" ht="26" customHeight="1">
      <c r="A26" s="5" t="n"/>
      <c r="B26" s="5" t="n"/>
      <c r="C26" s="5" t="n"/>
      <c r="D26" s="5" t="n"/>
      <c r="E26" s="5" t="n"/>
      <c r="F26" s="5" t="n"/>
      <c r="G26" s="5" t="n"/>
      <c r="H26" s="5" t="n"/>
      <c r="I26" s="5" t="n"/>
      <c r="J26" s="5" t="n"/>
    </row>
    <row r="27" ht="26" customHeight="1">
      <c r="A27" s="5" t="n"/>
      <c r="B27" s="5" t="n"/>
      <c r="C27" s="5" t="n"/>
      <c r="D27" s="5" t="n"/>
      <c r="E27" s="5" t="n"/>
      <c r="F27" s="5" t="n"/>
      <c r="G27" s="5" t="n"/>
      <c r="H27" s="5" t="n"/>
      <c r="I27" s="5" t="n"/>
      <c r="J27" s="5" t="n"/>
    </row>
    <row r="28" ht="26" customHeight="1">
      <c r="A28" s="5" t="n"/>
      <c r="B28" s="5" t="n"/>
      <c r="C28" s="5" t="n"/>
      <c r="D28" s="5" t="n"/>
      <c r="E28" s="5" t="n"/>
      <c r="F28" s="5" t="n"/>
      <c r="G28" s="5" t="n"/>
      <c r="H28" s="5" t="n"/>
      <c r="I28" s="5" t="n"/>
      <c r="J28" s="5" t="n"/>
    </row>
    <row r="29" ht="26" customHeight="1">
      <c r="A29" s="5" t="n"/>
      <c r="B29" s="5" t="n"/>
      <c r="C29" s="5" t="n"/>
      <c r="D29" s="5" t="n"/>
      <c r="E29" s="5" t="n"/>
      <c r="F29" s="5" t="n"/>
      <c r="G29" s="5" t="n"/>
      <c r="H29" s="5" t="n"/>
      <c r="I29" s="5" t="n"/>
      <c r="J29" s="5" t="n"/>
    </row>
    <row r="30" ht="26" customHeight="1">
      <c r="A30" s="5" t="n"/>
      <c r="B30" s="5" t="n"/>
      <c r="C30" s="5" t="n"/>
      <c r="D30" s="5" t="n"/>
      <c r="E30" s="5" t="n"/>
      <c r="F30" s="5" t="n"/>
      <c r="G30" s="5" t="n"/>
      <c r="H30" s="5" t="n"/>
      <c r="I30" s="5" t="n"/>
      <c r="J30" s="5" t="n"/>
    </row>
    <row r="31" ht="26" customHeight="1">
      <c r="A31" s="5" t="n"/>
      <c r="B31" s="5" t="n"/>
      <c r="C31" s="5" t="n"/>
      <c r="D31" s="5" t="n"/>
      <c r="E31" s="5" t="n"/>
      <c r="F31" s="5" t="n"/>
      <c r="G31" s="5" t="n"/>
      <c r="H31" s="5" t="n"/>
      <c r="I31" s="5" t="n"/>
      <c r="J31" s="5" t="n"/>
    </row>
    <row r="32" ht="26" customHeight="1">
      <c r="A32" s="5" t="n"/>
      <c r="B32" s="5" t="n"/>
      <c r="C32" s="5" t="n"/>
      <c r="D32" s="5" t="n"/>
      <c r="E32" s="5" t="n"/>
      <c r="F32" s="5" t="n"/>
      <c r="G32" s="5" t="n"/>
      <c r="H32" s="5" t="n"/>
      <c r="I32" s="5" t="n"/>
      <c r="J32" s="5" t="n"/>
    </row>
    <row r="33" ht="26" customHeight="1">
      <c r="A33" s="5" t="n"/>
      <c r="B33" s="5" t="n"/>
      <c r="C33" s="5" t="n"/>
      <c r="D33" s="5" t="n"/>
      <c r="E33" s="5" t="n"/>
      <c r="F33" s="5" t="n"/>
      <c r="G33" s="5" t="n"/>
      <c r="H33" s="5" t="n"/>
      <c r="I33" s="5" t="n"/>
      <c r="J33" s="5" t="n"/>
    </row>
    <row r="34" ht="26" customHeight="1">
      <c r="A34" s="5" t="n"/>
      <c r="B34" s="5" t="n"/>
      <c r="C34" s="5" t="n"/>
      <c r="D34" s="5" t="n"/>
      <c r="E34" s="5" t="n"/>
      <c r="F34" s="5" t="n"/>
      <c r="G34" s="5" t="n"/>
      <c r="H34" s="5" t="n"/>
      <c r="I34" s="5" t="n"/>
      <c r="J34" s="5" t="n"/>
    </row>
    <row r="35" ht="26" customHeight="1">
      <c r="A35" s="5" t="n"/>
      <c r="B35" s="5" t="n"/>
      <c r="C35" s="5" t="n"/>
      <c r="D35" s="5" t="n"/>
      <c r="E35" s="5" t="n"/>
      <c r="F35" s="5" t="n"/>
      <c r="G35" s="5" t="n"/>
      <c r="H35" s="5" t="n"/>
      <c r="I35" s="5" t="n"/>
      <c r="J35" s="5" t="n"/>
    </row>
    <row r="36" ht="26" customHeight="1">
      <c r="A36" s="5" t="n"/>
      <c r="B36" s="5" t="n"/>
      <c r="C36" s="5" t="n"/>
      <c r="D36" s="5" t="n"/>
      <c r="E36" s="5" t="n"/>
      <c r="F36" s="5" t="n"/>
      <c r="G36" s="5" t="n"/>
      <c r="H36" s="5" t="n"/>
      <c r="I36" s="5" t="n"/>
      <c r="J36" s="5" t="n"/>
    </row>
    <row r="37" ht="26" customHeight="1">
      <c r="A37" s="5" t="n"/>
      <c r="B37" s="5" t="n"/>
      <c r="C37" s="5" t="n"/>
      <c r="D37" s="5" t="n"/>
      <c r="E37" s="5" t="n"/>
      <c r="F37" s="5" t="n"/>
      <c r="G37" s="5" t="n"/>
      <c r="H37" s="5" t="n"/>
      <c r="I37" s="5" t="n"/>
      <c r="J37" s="5" t="n"/>
    </row>
    <row r="38" ht="6" customHeight="1"/>
    <row r="39" ht="16" customHeight="1">
      <c r="A39" s="7" t="inlineStr">
        <is>
          <t>첨부·대체 기록 번호와 보관 경로 / 적용 제외(해당없음) 사유 / 미결 확인 :</t>
        </is>
      </c>
      <c r="B39" s="13" t="n"/>
      <c r="C39" s="13" t="n"/>
      <c r="D39" s="13" t="n"/>
      <c r="E39" s="13" t="n"/>
      <c r="F39" s="13" t="n"/>
      <c r="G39" s="8" t="inlineStr">
        <is>
          <t>구분</t>
        </is>
      </c>
      <c r="H39" s="8" t="inlineStr">
        <is>
          <t>작성</t>
        </is>
      </c>
      <c r="I39" s="8" t="inlineStr">
        <is>
          <t>검토</t>
        </is>
      </c>
      <c r="J39" s="8" t="inlineStr">
        <is>
          <t>승인</t>
        </is>
      </c>
    </row>
    <row r="40" ht="28" customHeight="1">
      <c r="A40" s="13" t="n"/>
      <c r="B40" s="13" t="n"/>
      <c r="C40" s="13" t="n"/>
      <c r="D40" s="13" t="n"/>
      <c r="E40" s="13" t="n"/>
      <c r="F40" s="13" t="n"/>
      <c r="G40" s="9" t="inlineStr">
        <is>
          <t>성명·서명</t>
        </is>
      </c>
      <c r="H40" s="10" t="n"/>
      <c r="I40" s="10" t="n"/>
      <c r="J40" s="10" t="n"/>
    </row>
    <row r="41" ht="16" customHeight="1">
      <c r="A41" s="13" t="n"/>
      <c r="B41" s="13" t="n"/>
      <c r="C41" s="13" t="n"/>
      <c r="D41" s="13" t="n"/>
      <c r="E41" s="13" t="n"/>
      <c r="F41" s="13" t="n"/>
      <c r="G41" s="9" t="inlineStr">
        <is>
          <t>일자</t>
        </is>
      </c>
      <c r="H41" s="10" t="n"/>
      <c r="I41" s="10" t="n"/>
      <c r="J41" s="10" t="n"/>
    </row>
  </sheetData>
  <mergeCells count="11">
    <mergeCell ref="B6:C6"/>
    <mergeCell ref="I6:J6"/>
    <mergeCell ref="A8:J8"/>
    <mergeCell ref="B5:C5"/>
    <mergeCell ref="H5:J5"/>
    <mergeCell ref="A9:J9"/>
    <mergeCell ref="A3:J3"/>
    <mergeCell ref="E5:F5"/>
    <mergeCell ref="A39:F41"/>
    <mergeCell ref="A2:J2"/>
    <mergeCell ref="E6:G6"/>
  </mergeCells>
  <printOptions horizontalCentered="1"/>
  <pageMargins left="0.45" right="0.45" top="0.5" bottom="0.55" header="0.25" footer="0.25"/>
  <pageSetup orientation="landscape" paperSize="9" fitToHeight="0" fitToWidth="1"/>
  <headerFooter>
    <oddHeader/>
    <oddFooter>&amp;C&amp;"Malgun Gothic"&amp;8 동인엔시스 | DI-QF-04 Rev.00 | 페이지 &amp;P / 전체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2:F28"/>
  <sheetViews>
    <sheetView showGridLines="0" workbookViewId="0">
      <selection activeCell="A1" sqref="A1"/>
    </sheetView>
  </sheetViews>
  <sheetFormatPr baseColWidth="8" defaultRowHeight="15"/>
  <cols>
    <col width="17.5" customWidth="1" min="1" max="1"/>
    <col width="45.9" customWidth="1" min="2" max="2"/>
    <col width="13.1" customWidth="1" min="3" max="3"/>
    <col width="13.1" customWidth="1" min="4" max="4"/>
    <col width="30.6" customWidth="1" min="5" max="5"/>
    <col width="19.7" customWidth="1" min="6" max="6"/>
  </cols>
  <sheetData>
    <row r="1" ht="22" customHeight="1"/>
    <row r="2" ht="28" customHeight="1">
      <c r="A2" s="1" t="inlineStr">
        <is>
          <t>배선 작업자 검사 및 숙련자 확인</t>
        </is>
      </c>
      <c r="B2" s="1" t="n"/>
      <c r="C2" s="1" t="n"/>
      <c r="D2" s="1" t="n"/>
      <c r="E2" s="1" t="n"/>
      <c r="F2" s="1" t="n"/>
    </row>
    <row r="3" ht="16" customHeight="1">
      <c r="A3" s="2" t="inlineStr">
        <is>
          <t>동인엔시스 | DI-QF-05 | Rev.00 | 제정 2026.10.01 | 시행 2026.10.01 (대표 승인)   ·   담당: 제조 / 생산관리 | 작성: 판넬별 배선 완료·수정 후</t>
        </is>
      </c>
      <c r="B3" s="2" t="n"/>
      <c r="C3" s="2" t="n"/>
      <c r="D3" s="2" t="n"/>
      <c r="E3" s="2" t="n"/>
      <c r="F3" s="2" t="n"/>
    </row>
    <row r="4" ht="4" customHeight="1"/>
    <row r="5" ht="20" customHeight="1">
      <c r="A5" s="12" t="inlineStr">
        <is>
          <t>프로젝트 번호</t>
        </is>
      </c>
      <c r="B5" s="10" t="n"/>
      <c r="C5" s="12" t="inlineStr">
        <is>
          <t>판넬 번호(제조번호)</t>
        </is>
      </c>
      <c r="D5" s="12" t="n"/>
      <c r="E5" s="10" t="n"/>
      <c r="F5" s="10" t="n"/>
    </row>
    <row r="6" ht="20" customHeight="1">
      <c r="A6" s="12" t="inlineStr">
        <is>
          <t>도면 Rev</t>
        </is>
      </c>
      <c r="B6" s="10" t="n"/>
      <c r="C6" s="12" t="inlineStr">
        <is>
          <t>QF-15 번호</t>
        </is>
      </c>
      <c r="D6" s="10" t="n"/>
      <c r="E6" s="10" t="n"/>
      <c r="F6" s="10" t="n"/>
    </row>
    <row r="7" ht="20" customHeight="1">
      <c r="A7" s="12" t="inlineStr">
        <is>
          <t>작업자 / 검사일</t>
        </is>
      </c>
      <c r="B7" s="10" t="n"/>
      <c r="C7" s="12" t="inlineStr">
        <is>
          <t>숙련 확인자 / 확인일</t>
        </is>
      </c>
      <c r="D7" s="12" t="n"/>
      <c r="E7" s="10" t="n"/>
      <c r="F7" s="10" t="n"/>
    </row>
    <row r="8" ht="5" customHeight="1"/>
    <row r="9" ht="14.15" customHeight="1">
      <c r="A9" s="2" t="inlineStr">
        <is>
          <t>확인자와 작업자를 구분한다. 숙련 확인자는 QF-12에서 '배선 확인' 업무범위를 승인받은 사람이다. 불합격 상태로 시험에 넘기지 않는다.</t>
        </is>
      </c>
      <c r="B9" s="2" t="n"/>
      <c r="C9" s="2" t="n"/>
      <c r="D9" s="2" t="n"/>
      <c r="E9" s="2" t="n"/>
      <c r="F9" s="2" t="n"/>
    </row>
    <row r="10" ht="14.15" customHeight="1">
      <c r="A10" s="2" t="inlineStr">
        <is>
          <t>전선·토크 수치는 승인된 QF-15와 모델별 제조사 자료를 따른다. 토크 마킹은 실제 체결·검사를 대신하지 않는다.</t>
        </is>
      </c>
      <c r="B10" s="2" t="n"/>
      <c r="C10" s="2" t="n"/>
      <c r="D10" s="2" t="n"/>
      <c r="E10" s="2" t="n"/>
      <c r="F10" s="2" t="n"/>
    </row>
    <row r="11" ht="5" customHeight="1"/>
    <row r="12" ht="26" customHeight="1">
      <c r="A12" s="3" t="inlineStr">
        <is>
          <t>점검 항목</t>
        </is>
      </c>
      <c r="B12" s="3" t="inlineStr">
        <is>
          <t>판정 기준·근거</t>
        </is>
      </c>
      <c r="C12" s="3" t="inlineStr">
        <is>
          <t>작업자 결과</t>
        </is>
      </c>
      <c r="D12" s="3" t="inlineStr">
        <is>
          <t>숙련자 확인</t>
        </is>
      </c>
      <c r="E12" s="3" t="inlineStr">
        <is>
          <t>불량·수정 내용</t>
        </is>
      </c>
      <c r="F12" s="3" t="inlineStr">
        <is>
          <t>재검사·확인일</t>
        </is>
      </c>
    </row>
    <row r="13" ht="23" customHeight="1">
      <c r="A13" s="4" t="inlineStr">
        <is>
          <t>부품 취부·BOM</t>
        </is>
      </c>
      <c r="B13" s="4" t="inlineStr">
        <is>
          <t>BOM 모델·정격·수량, 배치도 위치, 레일·볼트 고정 상태</t>
        </is>
      </c>
      <c r="C13" s="6" t="n"/>
      <c r="D13" s="6" t="n"/>
      <c r="E13" s="5" t="n"/>
      <c r="F13" s="5" t="n"/>
    </row>
    <row r="14" ht="23" customHeight="1">
      <c r="A14" s="4" t="inlineStr">
        <is>
          <t>누락·오배선</t>
        </is>
      </c>
      <c r="B14" s="4" t="inlineStr">
        <is>
          <t>최신 도면·단자번호와 일치</t>
        </is>
      </c>
      <c r="C14" s="6" t="n"/>
      <c r="D14" s="6" t="n"/>
      <c r="E14" s="5" t="n"/>
      <c r="F14" s="5" t="n"/>
    </row>
    <row r="15" ht="23" customHeight="1">
      <c r="A15" s="4" t="inlineStr">
        <is>
          <t>전선·색상</t>
        </is>
      </c>
      <c r="B15" s="4" t="inlineStr">
        <is>
          <t>QF-15 회로별 단면적·등급·색상 일치</t>
        </is>
      </c>
      <c r="C15" s="6" t="n"/>
      <c r="D15" s="6" t="n"/>
      <c r="E15" s="5" t="n"/>
      <c r="F15" s="5" t="n"/>
    </row>
    <row r="16" ht="23" customHeight="1">
      <c r="A16" s="4" t="inlineStr">
        <is>
          <t>압착·단자</t>
        </is>
      </c>
      <c r="B16" s="4" t="inlineStr">
        <is>
          <t>허용 전선·압착단자 규격, 단자당 전선 수, 소선 돌출 없음</t>
        </is>
      </c>
      <c r="C16" s="6" t="n"/>
      <c r="D16" s="6" t="n"/>
      <c r="E16" s="5" t="n"/>
      <c r="F16" s="5" t="n"/>
    </row>
    <row r="17" ht="23" customHeight="1">
      <c r="A17" s="4" t="inlineStr">
        <is>
          <t>체결 토크</t>
        </is>
      </c>
      <c r="B17" s="4" t="inlineStr">
        <is>
          <t>QF-15 모델별 토크값, 유효 토크렌치 번호(QF-11)</t>
        </is>
      </c>
      <c r="C17" s="6" t="n"/>
      <c r="D17" s="6" t="n"/>
      <c r="E17" s="5" t="n"/>
      <c r="F17" s="5" t="n"/>
    </row>
    <row r="18" ht="31.65" customHeight="1">
      <c r="A18" s="4" t="inlineStr">
        <is>
          <t>체결 완료 마킹</t>
        </is>
      </c>
      <c r="B18" s="4" t="inlineStr">
        <is>
          <t>QF-15 지정 부위·방법 / 실제 체결 확인 후 표시 / 재체결 재검사</t>
        </is>
      </c>
      <c r="C18" s="6" t="n"/>
      <c r="D18" s="6" t="n"/>
      <c r="E18" s="5" t="n"/>
      <c r="F18" s="5" t="n"/>
    </row>
    <row r="19" ht="23" customHeight="1">
      <c r="A19" s="4" t="inlineStr">
        <is>
          <t>선번·라벨</t>
        </is>
      </c>
      <c r="B19" s="4" t="inlineStr">
        <is>
          <t>양끝단 선번·부품 식별 일치·정면 판독</t>
        </is>
      </c>
      <c r="C19" s="6" t="n"/>
      <c r="D19" s="6" t="n"/>
      <c r="E19" s="5" t="n"/>
      <c r="F19" s="5" t="n"/>
    </row>
    <row r="20" ht="23" customHeight="1">
      <c r="A20" s="4" t="inlineStr">
        <is>
          <t>배선 정리</t>
        </is>
      </c>
      <c r="B20" s="4" t="inlineStr">
        <is>
          <t>전력/신호 분리·굽힘 반경·덕트 충전·가동부 간섭</t>
        </is>
      </c>
      <c r="C20" s="6" t="n"/>
      <c r="D20" s="6" t="n"/>
      <c r="E20" s="5" t="n"/>
      <c r="F20" s="5" t="n"/>
    </row>
    <row r="21" ht="23" customHeight="1">
      <c r="A21" s="4" t="inlineStr">
        <is>
          <t>도어·가동부 배선</t>
        </is>
      </c>
      <c r="B21" s="4" t="inlineStr">
        <is>
          <t>힌지부 여유·보호튜브·고정, 개폐 시 당김 없음</t>
        </is>
      </c>
      <c r="C21" s="6" t="n"/>
      <c r="D21" s="6" t="n"/>
      <c r="E21" s="5" t="n"/>
      <c r="F21" s="5" t="n"/>
    </row>
    <row r="22" ht="23" customHeight="1">
      <c r="A22" s="4" t="inlineStr">
        <is>
          <t>접지</t>
        </is>
      </c>
      <c r="B22" s="4" t="inlineStr">
        <is>
          <t>외함·도어·PE 단자 연결, 도장면 접촉 처리</t>
        </is>
      </c>
      <c r="C22" s="6" t="n"/>
      <c r="D22" s="6" t="n"/>
      <c r="E22" s="5" t="n"/>
      <c r="F22" s="5" t="n"/>
    </row>
    <row r="23" ht="23" customHeight="1">
      <c r="A23" s="4" t="inlineStr">
        <is>
          <t>이물·마감</t>
        </is>
      </c>
      <c r="B23" s="4" t="inlineStr">
        <is>
          <t>전선 찌꺼기·공구·볼트 잔류 없음, 덕트 커버 체결</t>
        </is>
      </c>
      <c r="C23" s="6" t="n"/>
      <c r="D23" s="6" t="n"/>
      <c r="E23" s="5" t="n"/>
      <c r="F23" s="5" t="n"/>
    </row>
    <row r="24" ht="23" customHeight="1">
      <c r="A24" s="4" t="inlineStr">
        <is>
          <t>도통·단락</t>
        </is>
      </c>
      <c r="B24" s="4" t="inlineStr">
        <is>
          <t>통전 전 주회로·제어회로 단락·오결선 확인</t>
        </is>
      </c>
      <c r="C24" s="6" t="n"/>
      <c r="D24" s="6" t="n"/>
      <c r="E24" s="5" t="n"/>
      <c r="F24" s="5" t="n"/>
    </row>
    <row r="25" ht="6" customHeight="1"/>
    <row r="26" ht="16" customHeight="1">
      <c r="A26" s="7" t="inlineStr">
        <is>
          <t>첨부·대체 기록 번호와 보관 경로 / 적용 제외(해당없음) 사유 / 미결 확인 :</t>
        </is>
      </c>
      <c r="B26" s="13" t="n"/>
      <c r="C26" s="8" t="inlineStr">
        <is>
          <t>구분</t>
        </is>
      </c>
      <c r="D26" s="8" t="inlineStr">
        <is>
          <t>작성</t>
        </is>
      </c>
      <c r="E26" s="8" t="inlineStr">
        <is>
          <t>검토</t>
        </is>
      </c>
      <c r="F26" s="8" t="inlineStr">
        <is>
          <t>승인</t>
        </is>
      </c>
    </row>
    <row r="27" ht="28" customHeight="1">
      <c r="A27" s="13" t="n"/>
      <c r="B27" s="13" t="n"/>
      <c r="C27" s="9" t="inlineStr">
        <is>
          <t>성명·서명</t>
        </is>
      </c>
      <c r="D27" s="10" t="n"/>
      <c r="E27" s="10" t="n"/>
      <c r="F27" s="10" t="n"/>
    </row>
    <row r="28" ht="16" customHeight="1">
      <c r="A28" s="13" t="n"/>
      <c r="B28" s="13" t="n"/>
      <c r="C28" s="9" t="inlineStr">
        <is>
          <t>일자</t>
        </is>
      </c>
      <c r="D28" s="10" t="n"/>
      <c r="E28" s="10" t="n"/>
      <c r="F28" s="10" t="n"/>
    </row>
  </sheetData>
  <mergeCells count="10">
    <mergeCell ref="A2:F2"/>
    <mergeCell ref="A10:F10"/>
    <mergeCell ref="C7:D7"/>
    <mergeCell ref="E7:F7"/>
    <mergeCell ref="C5:D5"/>
    <mergeCell ref="A9:F9"/>
    <mergeCell ref="E5:F5"/>
    <mergeCell ref="A3:F3"/>
    <mergeCell ref="A26:B28"/>
    <mergeCell ref="D6:F6"/>
  </mergeCells>
  <conditionalFormatting sqref="C13:C24">
    <cfRule type="expression" priority="1" dxfId="0">
      <formula>OR(C13="불합격",C13="보류",C13="부적합",C13="미흡",C13="미준수",C13="미확인",C13="실패",C13="사용금지",C13="중지·개선",C13="재교육·동행",C13="C 발주중지",C13="중요")</formula>
    </cfRule>
  </conditionalFormatting>
  <conditionalFormatting sqref="D13:D24">
    <cfRule type="expression" priority="2" dxfId="0">
      <formula>OR(D13="불합격",D13="보류",D13="부적합",D13="미흡",D13="미준수",D13="미확인",D13="실패",D13="사용금지",D13="중지·개선",D13="재교육·동행",D13="C 발주중지",D13="중요")</formula>
    </cfRule>
  </conditionalFormatting>
  <dataValidations count="2">
    <dataValidation sqref="C13:C24" showDropDown="0" showInputMessage="0" showErrorMessage="0" allowBlank="1" error="목록에서 고르십시오: 합격, 불합격, 보류, 해당없음" type="list" errorStyle="warning">
      <formula1>"합격,불합격,보류,해당없음"</formula1>
    </dataValidation>
    <dataValidation sqref="D13:D24"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DI-QF-05 Rev.00 | 페이지 &amp;P / 전체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2:G29"/>
  <sheetViews>
    <sheetView showGridLines="0" workbookViewId="0">
      <selection activeCell="A1" sqref="A1"/>
    </sheetView>
  </sheetViews>
  <sheetFormatPr baseColWidth="8" defaultRowHeight="15"/>
  <cols>
    <col width="17.4" customWidth="1" min="1" max="1"/>
    <col width="32.6" customWidth="1" min="2" max="2"/>
    <col width="21.7" customWidth="1" min="3" max="3"/>
    <col width="21.7" customWidth="1" min="4" max="4"/>
    <col width="11.9" customWidth="1" min="5" max="5"/>
    <col width="17.4" customWidth="1" min="6" max="6"/>
    <col width="17.4" customWidth="1" min="7" max="7"/>
  </cols>
  <sheetData>
    <row r="1" ht="22" customHeight="1"/>
    <row r="2" ht="28" customHeight="1">
      <c r="A2" s="1" t="inlineStr">
        <is>
          <t>자체 시험 및 FAT 성적서</t>
        </is>
      </c>
      <c r="B2" s="1" t="n"/>
      <c r="C2" s="1" t="n"/>
      <c r="D2" s="1" t="n"/>
      <c r="E2" s="1" t="n"/>
      <c r="F2" s="1" t="n"/>
      <c r="G2" s="1" t="n"/>
    </row>
    <row r="3" ht="16" customHeight="1">
      <c r="A3" s="2" t="inlineStr">
        <is>
          <t>동인엔시스 | DI-QF-06 | Rev.00 | 제정 2026.10.01 | 시행 2026.10.01 (대표 승인)   ·   담당: 시험 담당 / 품질 | 작성: 판넬별 시험·재시험</t>
        </is>
      </c>
      <c r="B3" s="2" t="n"/>
      <c r="C3" s="2" t="n"/>
      <c r="D3" s="2" t="n"/>
      <c r="E3" s="2" t="n"/>
      <c r="F3" s="2" t="n"/>
      <c r="G3" s="2" t="n"/>
    </row>
    <row r="4" ht="4" customHeight="1"/>
    <row r="5" ht="20" customHeight="1">
      <c r="A5" s="12" t="inlineStr">
        <is>
          <t>프로젝트 번호</t>
        </is>
      </c>
      <c r="B5" s="10" t="n"/>
      <c r="C5" s="12" t="inlineStr">
        <is>
          <t>판넬 번호(제조번호)</t>
        </is>
      </c>
      <c r="D5" s="10" t="n"/>
      <c r="E5" s="12" t="inlineStr">
        <is>
          <t>도면 Rev / QF-15 번호</t>
        </is>
      </c>
      <c r="F5" s="12" t="n"/>
      <c r="G5" s="10" t="n"/>
    </row>
    <row r="6" ht="20" customHeight="1">
      <c r="A6" s="12" t="inlineStr">
        <is>
          <t>시험일 / 시험자</t>
        </is>
      </c>
      <c r="B6" s="10" t="n"/>
      <c r="C6" s="12" t="inlineStr">
        <is>
          <t>PLC Ver / SF-02 번호</t>
        </is>
      </c>
      <c r="D6" s="10" t="n"/>
      <c r="E6" s="10" t="n"/>
      <c r="F6" s="12" t="inlineStr">
        <is>
          <t>계측기 관리번호</t>
        </is>
      </c>
      <c r="G6" s="10" t="n"/>
    </row>
    <row r="7" ht="28.3" customHeight="1">
      <c r="A7" s="12" t="inlineStr">
        <is>
          <t>고객 입회자·서명 또는 승인메일</t>
        </is>
      </c>
      <c r="B7" s="10" t="n"/>
      <c r="C7" s="10" t="n"/>
      <c r="D7" s="10" t="n"/>
      <c r="E7" s="10" t="n"/>
      <c r="F7" s="10" t="n"/>
      <c r="G7" s="10" t="n"/>
    </row>
    <row r="8" ht="5" customHeight="1"/>
    <row r="9" ht="14.15" customHeight="1">
      <c r="A9" s="2" t="inlineStr">
        <is>
          <t>항목별 기준·조건·단위는 시험 전에 QF-15로 승인한다. I/O·통신·알람·인터록은 QF-06-1(또는 고객 양식)에 점별로 기록하고 첨부한다.</t>
        </is>
      </c>
      <c r="B9" s="2" t="n"/>
      <c r="C9" s="2" t="n"/>
      <c r="D9" s="2" t="n"/>
      <c r="E9" s="2" t="n"/>
      <c r="F9" s="2" t="n"/>
      <c r="G9" s="2" t="n"/>
    </row>
    <row r="10" ht="14.15" customHeight="1">
      <c r="A10" s="2" t="inlineStr">
        <is>
          <t>절연·내전압 전 PLC·인버터 등 전자부품 분리·보호를 먼저 확인한다. 불합격은 수정 후 재시험하고 QF-09 또는 재작업 기록을 남긴다. 해당없음은 근거·승인 필요.</t>
        </is>
      </c>
      <c r="B10" s="2" t="n"/>
      <c r="C10" s="2" t="n"/>
      <c r="D10" s="2" t="n"/>
      <c r="E10" s="2" t="n"/>
      <c r="F10" s="2" t="n"/>
      <c r="G10" s="2" t="n"/>
    </row>
    <row r="11" ht="5" customHeight="1"/>
    <row r="12" ht="26" customHeight="1">
      <c r="A12" s="3" t="inlineStr">
        <is>
          <t>항목·시험점</t>
        </is>
      </c>
      <c r="B12" s="3" t="inlineStr">
        <is>
          <t>조건·방법</t>
        </is>
      </c>
      <c r="C12" s="3" t="inlineStr">
        <is>
          <t>기준값·단위·근거</t>
        </is>
      </c>
      <c r="D12" s="3" t="inlineStr">
        <is>
          <t>실측·동작결과</t>
        </is>
      </c>
      <c r="E12" s="3" t="inlineStr">
        <is>
          <t>판정</t>
        </is>
      </c>
      <c r="F12" s="3" t="inlineStr">
        <is>
          <t>계측기·증거</t>
        </is>
      </c>
      <c r="G12" s="3" t="inlineStr">
        <is>
          <t>재시험·승인</t>
        </is>
      </c>
    </row>
    <row r="13" ht="31.65" customHeight="1">
      <c r="A13" s="4" t="inlineStr">
        <is>
          <t>외관·구성·명판</t>
        </is>
      </c>
      <c r="B13" s="4" t="inlineStr">
        <is>
          <t>부품 모델·정격·배치 도면 대조, 명판(정격·제조번호)·경고표시</t>
        </is>
      </c>
      <c r="C13" s="5" t="n"/>
      <c r="D13" s="5" t="n"/>
      <c r="E13" s="6" t="n"/>
      <c r="F13" s="5" t="n"/>
      <c r="G13" s="5" t="n"/>
    </row>
    <row r="14" ht="31.65" customHeight="1">
      <c r="A14" s="4" t="inlineStr">
        <is>
          <t>외함·보호등급</t>
        </is>
      </c>
      <c r="B14" s="4" t="inlineStr">
        <is>
          <t>도어 개스킷·글랜드·팬필터, IP 요구, 충전부 보호커버</t>
        </is>
      </c>
      <c r="C14" s="5" t="n"/>
      <c r="D14" s="5" t="n"/>
      <c r="E14" s="6" t="n"/>
      <c r="F14" s="5" t="n"/>
      <c r="G14" s="5" t="n"/>
    </row>
    <row r="15" ht="21" customHeight="1">
      <c r="A15" s="4" t="inlineStr">
        <is>
          <t>공간·연면거리</t>
        </is>
      </c>
      <c r="B15" s="4" t="inlineStr">
        <is>
          <t>부스바·단자 충전부 이격 (QF-15 기준)</t>
        </is>
      </c>
      <c r="C15" s="5" t="n"/>
      <c r="D15" s="5" t="n"/>
      <c r="E15" s="6" t="n"/>
      <c r="F15" s="5" t="n"/>
      <c r="G15" s="5" t="n"/>
    </row>
    <row r="16" ht="31.65" customHeight="1">
      <c r="A16" s="4" t="inlineStr">
        <is>
          <t>기계적 동작</t>
        </is>
      </c>
      <c r="B16" s="4" t="inlineStr">
        <is>
          <t>도어 잠금·핸들 인터록·차단기 조작·인출부</t>
        </is>
      </c>
      <c r="C16" s="5" t="n"/>
      <c r="D16" s="5" t="n"/>
      <c r="E16" s="6" t="n"/>
      <c r="F16" s="5" t="n"/>
      <c r="G16" s="5" t="n"/>
    </row>
    <row r="17" ht="31.65" customHeight="1">
      <c r="A17" s="4" t="inlineStr">
        <is>
          <t>보호기기 설정값</t>
        </is>
      </c>
      <c r="B17" s="4" t="inlineStr">
        <is>
          <t>차단기·EOCR·타이머 설정 = 도면/QF-15 설정표</t>
        </is>
      </c>
      <c r="C17" s="5" t="n"/>
      <c r="D17" s="5" t="n"/>
      <c r="E17" s="6" t="n"/>
      <c r="F17" s="5" t="n"/>
      <c r="G17" s="5" t="n"/>
    </row>
    <row r="18" ht="21" customHeight="1">
      <c r="A18" s="4" t="inlineStr">
        <is>
          <t>절연저항</t>
        </is>
      </c>
      <c r="B18" s="4" t="inlineStr">
        <is>
          <t>승인 시험전압·회로 분리 상태</t>
        </is>
      </c>
      <c r="C18" s="5" t="n"/>
      <c r="D18" s="5" t="n"/>
      <c r="E18" s="6" t="n"/>
      <c r="F18" s="5" t="n"/>
      <c r="G18" s="5" t="n"/>
    </row>
    <row r="19" ht="21" customHeight="1">
      <c r="A19" s="4" t="inlineStr">
        <is>
          <t>내전압</t>
        </is>
      </c>
      <c r="B19" s="4" t="inlineStr">
        <is>
          <t>적용 여부·시험전압·시간·전자부품 보호</t>
        </is>
      </c>
      <c r="C19" s="5" t="n"/>
      <c r="D19" s="5" t="n"/>
      <c r="E19" s="6" t="n"/>
      <c r="F19" s="5" t="n"/>
      <c r="G19" s="5" t="n"/>
    </row>
    <row r="20" ht="21" customHeight="1">
      <c r="A20" s="4" t="inlineStr">
        <is>
          <t>보호접지 연속성</t>
        </is>
      </c>
      <c r="B20" s="4" t="inlineStr">
        <is>
          <t>시험전류·방법·허용값</t>
        </is>
      </c>
      <c r="C20" s="5" t="n"/>
      <c r="D20" s="5" t="n"/>
      <c r="E20" s="6" t="n"/>
      <c r="F20" s="5" t="n"/>
      <c r="G20" s="5" t="n"/>
    </row>
    <row r="21" ht="21" customHeight="1">
      <c r="A21" s="4" t="inlineStr">
        <is>
          <t>전원·상순</t>
        </is>
      </c>
      <c r="B21" s="4" t="inlineStr">
        <is>
          <t>주회로·제어전원 전압·상순·극성</t>
        </is>
      </c>
      <c r="C21" s="5" t="n"/>
      <c r="D21" s="5" t="n"/>
      <c r="E21" s="6" t="n"/>
      <c r="F21" s="5" t="n"/>
      <c r="G21" s="5" t="n"/>
    </row>
    <row r="22" ht="21" customHeight="1">
      <c r="A22" s="4" t="inlineStr">
        <is>
          <t>I/O·통신</t>
        </is>
      </c>
      <c r="B22" s="4" t="inlineStr">
        <is>
          <t>QF-06-1 점별 결과 (불합격 0건)</t>
        </is>
      </c>
      <c r="C22" s="5" t="n"/>
      <c r="D22" s="5" t="n"/>
      <c r="E22" s="6" t="n"/>
      <c r="F22" s="5" t="n"/>
      <c r="G22" s="5" t="n"/>
    </row>
    <row r="23" ht="21" customHeight="1">
      <c r="A23" s="4" t="inlineStr">
        <is>
          <t>인터록·비상정지</t>
        </is>
      </c>
      <c r="B23" s="4" t="inlineStr">
        <is>
          <t>시나리오·안전상태·재시작 조건</t>
        </is>
      </c>
      <c r="C23" s="5" t="n"/>
      <c r="D23" s="5" t="n"/>
      <c r="E23" s="6" t="n"/>
      <c r="F23" s="5" t="n"/>
      <c r="G23" s="5" t="n"/>
    </row>
    <row r="24" ht="31.65" customHeight="1">
      <c r="A24" s="4" t="inlineStr">
        <is>
          <t>인버터·PLC</t>
        </is>
      </c>
      <c r="B24" s="4" t="inlineStr">
        <is>
          <t>파라미터·버전(QF-08)·부하 조건, Force 해제</t>
        </is>
      </c>
      <c r="C24" s="5" t="n"/>
      <c r="D24" s="5" t="n"/>
      <c r="E24" s="6" t="n"/>
      <c r="F24" s="5" t="n"/>
      <c r="G24" s="5" t="n"/>
    </row>
    <row r="25" ht="21" customHeight="1">
      <c r="A25" s="4" t="inlineStr">
        <is>
          <t>알람·보호</t>
        </is>
      </c>
      <c r="B25" s="4" t="inlineStr">
        <is>
          <t>세부 시나리오 (QF-06-1)</t>
        </is>
      </c>
      <c r="C25" s="5" t="n"/>
      <c r="D25" s="5" t="n"/>
      <c r="E25" s="6" t="n"/>
      <c r="F25" s="5" t="n"/>
      <c r="G25" s="5" t="n"/>
    </row>
    <row r="26" ht="6" customHeight="1"/>
    <row r="27" ht="16" customHeight="1">
      <c r="A27" s="7" t="inlineStr">
        <is>
          <t>첨부·대체 기록 번호와 보관 경로 / 적용 제외(해당없음) 사유 / 미결 확인 :</t>
        </is>
      </c>
      <c r="B27" s="13" t="n"/>
      <c r="C27" s="13" t="n"/>
      <c r="D27" s="8" t="inlineStr">
        <is>
          <t>구분</t>
        </is>
      </c>
      <c r="E27" s="8" t="inlineStr">
        <is>
          <t>작성</t>
        </is>
      </c>
      <c r="F27" s="8" t="inlineStr">
        <is>
          <t>검토</t>
        </is>
      </c>
      <c r="G27" s="8" t="inlineStr">
        <is>
          <t>승인</t>
        </is>
      </c>
    </row>
    <row r="28" ht="28" customHeight="1">
      <c r="A28" s="13" t="n"/>
      <c r="B28" s="13" t="n"/>
      <c r="C28" s="13" t="n"/>
      <c r="D28" s="9" t="inlineStr">
        <is>
          <t>성명·서명</t>
        </is>
      </c>
      <c r="E28" s="10" t="n"/>
      <c r="F28" s="10" t="n"/>
      <c r="G28" s="10" t="n"/>
    </row>
    <row r="29" ht="16" customHeight="1">
      <c r="A29" s="13" t="n"/>
      <c r="B29" s="13" t="n"/>
      <c r="C29" s="13" t="n"/>
      <c r="D29" s="9" t="inlineStr">
        <is>
          <t>일자</t>
        </is>
      </c>
      <c r="E29" s="10" t="n"/>
      <c r="F29" s="10" t="n"/>
      <c r="G29" s="10" t="n"/>
    </row>
  </sheetData>
  <mergeCells count="8">
    <mergeCell ref="D6:E6"/>
    <mergeCell ref="A10:G10"/>
    <mergeCell ref="A9:G9"/>
    <mergeCell ref="A27:C29"/>
    <mergeCell ref="A3:G3"/>
    <mergeCell ref="E5:F5"/>
    <mergeCell ref="A2:G2"/>
    <mergeCell ref="B7:G7"/>
  </mergeCells>
  <conditionalFormatting sqref="E13:E25">
    <cfRule type="expression" priority="1" dxfId="0">
      <formula>OR(E13="불합격",E13="보류",E13="부적합",E13="미흡",E13="미준수",E13="미확인",E13="실패",E13="사용금지",E13="중지·개선",E13="재교육·동행",E13="C 발주중지",E13="중요")</formula>
    </cfRule>
  </conditionalFormatting>
  <dataValidations count="1">
    <dataValidation sqref="E13:E25"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DI-QF-06 Rev.00 | 페이지 &amp;P / 전체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2:I74"/>
  <sheetViews>
    <sheetView showGridLines="0" workbookViewId="0">
      <pane ySplit="12" topLeftCell="A13" activePane="bottomLeft" state="frozen"/>
      <selection pane="bottomLeft" activeCell="A1" sqref="A1"/>
    </sheetView>
  </sheetViews>
  <sheetFormatPr baseColWidth="8" defaultRowHeight="15"/>
  <cols>
    <col width="5.4" customWidth="1" min="1" max="1"/>
    <col width="13" customWidth="1" min="2" max="2"/>
    <col width="28.2" customWidth="1" min="3" max="3"/>
    <col width="10.9" customWidth="1" min="4" max="4"/>
    <col width="26" customWidth="1" min="5" max="5"/>
    <col width="19.5" customWidth="1" min="6" max="6"/>
    <col width="10.9" customWidth="1" min="7" max="7"/>
    <col width="10.9" customWidth="1" min="8" max="8"/>
    <col width="15.2" customWidth="1" min="9" max="9"/>
  </cols>
  <sheetData>
    <row r="1" ht="22" customHeight="1"/>
    <row r="2" ht="28" customHeight="1">
      <c r="A2" s="1" t="inlineStr">
        <is>
          <t>I/O·인터록·알람 점검표 (QF-06 별지)</t>
        </is>
      </c>
      <c r="B2" s="1" t="n"/>
      <c r="C2" s="1" t="n"/>
      <c r="D2" s="1" t="n"/>
      <c r="E2" s="1" t="n"/>
      <c r="F2" s="1" t="n"/>
      <c r="G2" s="1" t="n"/>
      <c r="H2" s="1" t="n"/>
      <c r="I2" s="1" t="n"/>
    </row>
    <row r="3" ht="16" customHeight="1">
      <c r="A3" s="2" t="inlineStr">
        <is>
          <t>동인엔시스 | DI-QF-06-1 | Rev.00 | 제정 2026.10.01 | 시행 2026.10.01 (대표 승인)   ·   담당: 시험 담당 / 품질 | 작성: FAT·SAT 점별 시험 시</t>
        </is>
      </c>
      <c r="B3" s="2" t="n"/>
      <c r="C3" s="2" t="n"/>
      <c r="D3" s="2" t="n"/>
      <c r="E3" s="2" t="n"/>
      <c r="F3" s="2" t="n"/>
      <c r="G3" s="2" t="n"/>
      <c r="H3" s="2" t="n"/>
      <c r="I3" s="2" t="n"/>
    </row>
    <row r="4" ht="4" customHeight="1"/>
    <row r="5" ht="20" customHeight="1">
      <c r="A5" s="12" t="inlineStr">
        <is>
          <t>프로젝트 번호</t>
        </is>
      </c>
      <c r="B5" s="12" t="n"/>
      <c r="C5" s="10" t="n"/>
      <c r="D5" s="10" t="n"/>
      <c r="E5" s="12" t="inlineStr">
        <is>
          <t>판넬 번호(제조번호)</t>
        </is>
      </c>
      <c r="F5" s="10" t="n"/>
      <c r="G5" s="12" t="inlineStr">
        <is>
          <t>PLC Ver</t>
        </is>
      </c>
      <c r="H5" s="10" t="n"/>
      <c r="I5" s="10" t="n"/>
    </row>
    <row r="6" ht="28.3" customHeight="1">
      <c r="A6" s="12" t="inlineStr">
        <is>
          <t>I/O 리스트 Rev</t>
        </is>
      </c>
      <c r="B6" s="12" t="n"/>
      <c r="C6" s="10" t="n"/>
      <c r="D6" s="12" t="inlineStr">
        <is>
          <t>시험일 / 시험자</t>
        </is>
      </c>
      <c r="E6" s="10" t="n"/>
      <c r="F6" s="12" t="inlineStr">
        <is>
          <t>고객 입회자</t>
        </is>
      </c>
      <c r="G6" s="10" t="n"/>
      <c r="H6" s="10" t="n"/>
      <c r="I6" s="10" t="n"/>
    </row>
    <row r="7" ht="28.3" customHeight="1">
      <c r="A7" s="12" t="inlineStr">
        <is>
          <t>Force·시뮬레이션 해제 확인자·시각</t>
        </is>
      </c>
      <c r="B7" s="12" t="n"/>
      <c r="C7" s="10" t="n"/>
      <c r="D7" s="10" t="n"/>
      <c r="E7" s="10" t="n"/>
      <c r="F7" s="10" t="n"/>
      <c r="G7" s="10" t="n"/>
      <c r="H7" s="10" t="n"/>
      <c r="I7" s="10" t="n"/>
    </row>
    <row r="8" ht="5" customHeight="1"/>
    <row r="9" ht="14.15" customHeight="1">
      <c r="A9" s="2" t="inlineStr">
        <is>
          <t>QF-06의 별지. 도면 I/O 리스트를 점별로 옮기거나, I/O 리스트 출력본에 같은 열(결과·판정·확인자)을 추가해 대체할 수 있다(QF-06에 경로 기록).</t>
        </is>
      </c>
      <c r="B9" s="2" t="n"/>
      <c r="C9" s="2" t="n"/>
      <c r="D9" s="2" t="n"/>
      <c r="E9" s="2" t="n"/>
      <c r="F9" s="2" t="n"/>
      <c r="G9" s="2" t="n"/>
      <c r="H9" s="2" t="n"/>
      <c r="I9" s="2" t="n"/>
    </row>
    <row r="10" ht="14.15" customHeight="1">
      <c r="A10" s="2" t="inlineStr">
        <is>
          <t>구분: DI·DO·AI·AO·통신·인터록·알람. 아날로그는 범위(0/50/100%)와 스케일을 확인한다. 시험 중 사용한 강제(Force)·시뮬레이션은 종료 전에 모두 해제한다.</t>
        </is>
      </c>
      <c r="B10" s="2" t="n"/>
      <c r="C10" s="2" t="n"/>
      <c r="D10" s="2" t="n"/>
      <c r="E10" s="2" t="n"/>
      <c r="F10" s="2" t="n"/>
      <c r="G10" s="2" t="n"/>
      <c r="H10" s="2" t="n"/>
      <c r="I10" s="2" t="n"/>
    </row>
    <row r="11" ht="5" customHeight="1"/>
    <row r="12" ht="26" customHeight="1">
      <c r="A12" s="3" t="inlineStr">
        <is>
          <t>No</t>
        </is>
      </c>
      <c r="B12" s="3" t="inlineStr">
        <is>
          <t>I/O 주소</t>
        </is>
      </c>
      <c r="C12" s="3" t="inlineStr">
        <is>
          <t>Tag·설명</t>
        </is>
      </c>
      <c r="D12" s="3" t="inlineStr">
        <is>
          <t>구분</t>
        </is>
      </c>
      <c r="E12" s="3" t="inlineStr">
        <is>
          <t>기대 동작·범위</t>
        </is>
      </c>
      <c r="F12" s="3" t="inlineStr">
        <is>
          <t>실제 결과</t>
        </is>
      </c>
      <c r="G12" s="3" t="inlineStr">
        <is>
          <t>판정</t>
        </is>
      </c>
      <c r="H12" s="3" t="inlineStr">
        <is>
          <t>확인자</t>
        </is>
      </c>
      <c r="I12" s="3" t="inlineStr">
        <is>
          <t>비고</t>
        </is>
      </c>
    </row>
    <row r="13" ht="20" customHeight="1">
      <c r="A13" s="11" t="inlineStr">
        <is>
          <t>1</t>
        </is>
      </c>
      <c r="B13" s="5" t="n"/>
      <c r="C13" s="5" t="n"/>
      <c r="D13" s="6" t="n"/>
      <c r="E13" s="5" t="n"/>
      <c r="F13" s="5" t="n"/>
      <c r="G13" s="6" t="n"/>
      <c r="H13" s="5" t="n"/>
      <c r="I13" s="5" t="n"/>
    </row>
    <row r="14" ht="20" customHeight="1">
      <c r="A14" s="11" t="inlineStr">
        <is>
          <t>2</t>
        </is>
      </c>
      <c r="B14" s="5" t="n"/>
      <c r="C14" s="5" t="n"/>
      <c r="D14" s="6" t="n"/>
      <c r="E14" s="5" t="n"/>
      <c r="F14" s="5" t="n"/>
      <c r="G14" s="6" t="n"/>
      <c r="H14" s="5" t="n"/>
      <c r="I14" s="5" t="n"/>
    </row>
    <row r="15" ht="20" customHeight="1">
      <c r="A15" s="11" t="inlineStr">
        <is>
          <t>3</t>
        </is>
      </c>
      <c r="B15" s="5" t="n"/>
      <c r="C15" s="5" t="n"/>
      <c r="D15" s="6" t="n"/>
      <c r="E15" s="5" t="n"/>
      <c r="F15" s="5" t="n"/>
      <c r="G15" s="6" t="n"/>
      <c r="H15" s="5" t="n"/>
      <c r="I15" s="5" t="n"/>
    </row>
    <row r="16" ht="20" customHeight="1">
      <c r="A16" s="11" t="inlineStr">
        <is>
          <t>4</t>
        </is>
      </c>
      <c r="B16" s="5" t="n"/>
      <c r="C16" s="5" t="n"/>
      <c r="D16" s="6" t="n"/>
      <c r="E16" s="5" t="n"/>
      <c r="F16" s="5" t="n"/>
      <c r="G16" s="6" t="n"/>
      <c r="H16" s="5" t="n"/>
      <c r="I16" s="5" t="n"/>
    </row>
    <row r="17" ht="20" customHeight="1">
      <c r="A17" s="11" t="inlineStr">
        <is>
          <t>5</t>
        </is>
      </c>
      <c r="B17" s="5" t="n"/>
      <c r="C17" s="5" t="n"/>
      <c r="D17" s="6" t="n"/>
      <c r="E17" s="5" t="n"/>
      <c r="F17" s="5" t="n"/>
      <c r="G17" s="6" t="n"/>
      <c r="H17" s="5" t="n"/>
      <c r="I17" s="5" t="n"/>
    </row>
    <row r="18" ht="20" customHeight="1">
      <c r="A18" s="11" t="inlineStr">
        <is>
          <t>6</t>
        </is>
      </c>
      <c r="B18" s="5" t="n"/>
      <c r="C18" s="5" t="n"/>
      <c r="D18" s="6" t="n"/>
      <c r="E18" s="5" t="n"/>
      <c r="F18" s="5" t="n"/>
      <c r="G18" s="6" t="n"/>
      <c r="H18" s="5" t="n"/>
      <c r="I18" s="5" t="n"/>
    </row>
    <row r="19" ht="20" customHeight="1">
      <c r="A19" s="11" t="inlineStr">
        <is>
          <t>7</t>
        </is>
      </c>
      <c r="B19" s="5" t="n"/>
      <c r="C19" s="5" t="n"/>
      <c r="D19" s="6" t="n"/>
      <c r="E19" s="5" t="n"/>
      <c r="F19" s="5" t="n"/>
      <c r="G19" s="6" t="n"/>
      <c r="H19" s="5" t="n"/>
      <c r="I19" s="5" t="n"/>
    </row>
    <row r="20" ht="20" customHeight="1">
      <c r="A20" s="11" t="inlineStr">
        <is>
          <t>8</t>
        </is>
      </c>
      <c r="B20" s="5" t="n"/>
      <c r="C20" s="5" t="n"/>
      <c r="D20" s="6" t="n"/>
      <c r="E20" s="5" t="n"/>
      <c r="F20" s="5" t="n"/>
      <c r="G20" s="6" t="n"/>
      <c r="H20" s="5" t="n"/>
      <c r="I20" s="5" t="n"/>
    </row>
    <row r="21" ht="20" customHeight="1">
      <c r="A21" s="11" t="inlineStr">
        <is>
          <t>9</t>
        </is>
      </c>
      <c r="B21" s="5" t="n"/>
      <c r="C21" s="5" t="n"/>
      <c r="D21" s="6" t="n"/>
      <c r="E21" s="5" t="n"/>
      <c r="F21" s="5" t="n"/>
      <c r="G21" s="6" t="n"/>
      <c r="H21" s="5" t="n"/>
      <c r="I21" s="5" t="n"/>
    </row>
    <row r="22" ht="20" customHeight="1">
      <c r="A22" s="11" t="inlineStr">
        <is>
          <t>10</t>
        </is>
      </c>
      <c r="B22" s="5" t="n"/>
      <c r="C22" s="5" t="n"/>
      <c r="D22" s="6" t="n"/>
      <c r="E22" s="5" t="n"/>
      <c r="F22" s="5" t="n"/>
      <c r="G22" s="6" t="n"/>
      <c r="H22" s="5" t="n"/>
      <c r="I22" s="5" t="n"/>
    </row>
    <row r="23" ht="20" customHeight="1">
      <c r="A23" s="11" t="inlineStr">
        <is>
          <t>11</t>
        </is>
      </c>
      <c r="B23" s="5" t="n"/>
      <c r="C23" s="5" t="n"/>
      <c r="D23" s="6" t="n"/>
      <c r="E23" s="5" t="n"/>
      <c r="F23" s="5" t="n"/>
      <c r="G23" s="6" t="n"/>
      <c r="H23" s="5" t="n"/>
      <c r="I23" s="5" t="n"/>
    </row>
    <row r="24" ht="20" customHeight="1">
      <c r="A24" s="11" t="inlineStr">
        <is>
          <t>12</t>
        </is>
      </c>
      <c r="B24" s="5" t="n"/>
      <c r="C24" s="5" t="n"/>
      <c r="D24" s="6" t="n"/>
      <c r="E24" s="5" t="n"/>
      <c r="F24" s="5" t="n"/>
      <c r="G24" s="6" t="n"/>
      <c r="H24" s="5" t="n"/>
      <c r="I24" s="5" t="n"/>
    </row>
    <row r="25" ht="20" customHeight="1">
      <c r="A25" s="11" t="inlineStr">
        <is>
          <t>13</t>
        </is>
      </c>
      <c r="B25" s="5" t="n"/>
      <c r="C25" s="5" t="n"/>
      <c r="D25" s="6" t="n"/>
      <c r="E25" s="5" t="n"/>
      <c r="F25" s="5" t="n"/>
      <c r="G25" s="6" t="n"/>
      <c r="H25" s="5" t="n"/>
      <c r="I25" s="5" t="n"/>
    </row>
    <row r="26" ht="20" customHeight="1">
      <c r="A26" s="11" t="inlineStr">
        <is>
          <t>14</t>
        </is>
      </c>
      <c r="B26" s="5" t="n"/>
      <c r="C26" s="5" t="n"/>
      <c r="D26" s="6" t="n"/>
      <c r="E26" s="5" t="n"/>
      <c r="F26" s="5" t="n"/>
      <c r="G26" s="6" t="n"/>
      <c r="H26" s="5" t="n"/>
      <c r="I26" s="5" t="n"/>
    </row>
    <row r="27" ht="20" customHeight="1">
      <c r="A27" s="11" t="inlineStr">
        <is>
          <t>15</t>
        </is>
      </c>
      <c r="B27" s="5" t="n"/>
      <c r="C27" s="5" t="n"/>
      <c r="D27" s="6" t="n"/>
      <c r="E27" s="5" t="n"/>
      <c r="F27" s="5" t="n"/>
      <c r="G27" s="6" t="n"/>
      <c r="H27" s="5" t="n"/>
      <c r="I27" s="5" t="n"/>
    </row>
    <row r="28" ht="20" customHeight="1">
      <c r="A28" s="11" t="inlineStr">
        <is>
          <t>16</t>
        </is>
      </c>
      <c r="B28" s="5" t="n"/>
      <c r="C28" s="5" t="n"/>
      <c r="D28" s="6" t="n"/>
      <c r="E28" s="5" t="n"/>
      <c r="F28" s="5" t="n"/>
      <c r="G28" s="6" t="n"/>
      <c r="H28" s="5" t="n"/>
      <c r="I28" s="5" t="n"/>
    </row>
    <row r="29" ht="20" customHeight="1">
      <c r="A29" s="11" t="inlineStr">
        <is>
          <t>17</t>
        </is>
      </c>
      <c r="B29" s="5" t="n"/>
      <c r="C29" s="5" t="n"/>
      <c r="D29" s="6" t="n"/>
      <c r="E29" s="5" t="n"/>
      <c r="F29" s="5" t="n"/>
      <c r="G29" s="6" t="n"/>
      <c r="H29" s="5" t="n"/>
      <c r="I29" s="5" t="n"/>
    </row>
    <row r="30" ht="20" customHeight="1">
      <c r="A30" s="11" t="inlineStr">
        <is>
          <t>18</t>
        </is>
      </c>
      <c r="B30" s="5" t="n"/>
      <c r="C30" s="5" t="n"/>
      <c r="D30" s="6" t="n"/>
      <c r="E30" s="5" t="n"/>
      <c r="F30" s="5" t="n"/>
      <c r="G30" s="6" t="n"/>
      <c r="H30" s="5" t="n"/>
      <c r="I30" s="5" t="n"/>
    </row>
    <row r="31" ht="20" customHeight="1">
      <c r="A31" s="11" t="inlineStr">
        <is>
          <t>19</t>
        </is>
      </c>
      <c r="B31" s="5" t="n"/>
      <c r="C31" s="5" t="n"/>
      <c r="D31" s="6" t="n"/>
      <c r="E31" s="5" t="n"/>
      <c r="F31" s="5" t="n"/>
      <c r="G31" s="6" t="n"/>
      <c r="H31" s="5" t="n"/>
      <c r="I31" s="5" t="n"/>
    </row>
    <row r="32" ht="20" customHeight="1">
      <c r="A32" s="11" t="inlineStr">
        <is>
          <t>20</t>
        </is>
      </c>
      <c r="B32" s="5" t="n"/>
      <c r="C32" s="5" t="n"/>
      <c r="D32" s="6" t="n"/>
      <c r="E32" s="5" t="n"/>
      <c r="F32" s="5" t="n"/>
      <c r="G32" s="6" t="n"/>
      <c r="H32" s="5" t="n"/>
      <c r="I32" s="5" t="n"/>
    </row>
    <row r="33" ht="20" customHeight="1">
      <c r="A33" s="11" t="inlineStr">
        <is>
          <t>21</t>
        </is>
      </c>
      <c r="B33" s="5" t="n"/>
      <c r="C33" s="5" t="n"/>
      <c r="D33" s="6" t="n"/>
      <c r="E33" s="5" t="n"/>
      <c r="F33" s="5" t="n"/>
      <c r="G33" s="6" t="n"/>
      <c r="H33" s="5" t="n"/>
      <c r="I33" s="5" t="n"/>
    </row>
    <row r="34" ht="20" customHeight="1">
      <c r="A34" s="11" t="inlineStr">
        <is>
          <t>22</t>
        </is>
      </c>
      <c r="B34" s="5" t="n"/>
      <c r="C34" s="5" t="n"/>
      <c r="D34" s="6" t="n"/>
      <c r="E34" s="5" t="n"/>
      <c r="F34" s="5" t="n"/>
      <c r="G34" s="6" t="n"/>
      <c r="H34" s="5" t="n"/>
      <c r="I34" s="5" t="n"/>
    </row>
    <row r="35" ht="20" customHeight="1">
      <c r="A35" s="11" t="inlineStr">
        <is>
          <t>23</t>
        </is>
      </c>
      <c r="B35" s="5" t="n"/>
      <c r="C35" s="5" t="n"/>
      <c r="D35" s="6" t="n"/>
      <c r="E35" s="5" t="n"/>
      <c r="F35" s="5" t="n"/>
      <c r="G35" s="6" t="n"/>
      <c r="H35" s="5" t="n"/>
      <c r="I35" s="5" t="n"/>
    </row>
    <row r="36" ht="20" customHeight="1">
      <c r="A36" s="11" t="inlineStr">
        <is>
          <t>24</t>
        </is>
      </c>
      <c r="B36" s="5" t="n"/>
      <c r="C36" s="5" t="n"/>
      <c r="D36" s="6" t="n"/>
      <c r="E36" s="5" t="n"/>
      <c r="F36" s="5" t="n"/>
      <c r="G36" s="6" t="n"/>
      <c r="H36" s="5" t="n"/>
      <c r="I36" s="5" t="n"/>
    </row>
    <row r="37" ht="20" customHeight="1">
      <c r="A37" s="11" t="inlineStr">
        <is>
          <t>25</t>
        </is>
      </c>
      <c r="B37" s="5" t="n"/>
      <c r="C37" s="5" t="n"/>
      <c r="D37" s="6" t="n"/>
      <c r="E37" s="5" t="n"/>
      <c r="F37" s="5" t="n"/>
      <c r="G37" s="6" t="n"/>
      <c r="H37" s="5" t="n"/>
      <c r="I37" s="5" t="n"/>
    </row>
    <row r="38" ht="20" customHeight="1">
      <c r="A38" s="11" t="inlineStr">
        <is>
          <t>26</t>
        </is>
      </c>
      <c r="B38" s="5" t="n"/>
      <c r="C38" s="5" t="n"/>
      <c r="D38" s="6" t="n"/>
      <c r="E38" s="5" t="n"/>
      <c r="F38" s="5" t="n"/>
      <c r="G38" s="6" t="n"/>
      <c r="H38" s="5" t="n"/>
      <c r="I38" s="5" t="n"/>
    </row>
    <row r="39" ht="20" customHeight="1">
      <c r="A39" s="11" t="inlineStr">
        <is>
          <t>27</t>
        </is>
      </c>
      <c r="B39" s="5" t="n"/>
      <c r="C39" s="5" t="n"/>
      <c r="D39" s="6" t="n"/>
      <c r="E39" s="5" t="n"/>
      <c r="F39" s="5" t="n"/>
      <c r="G39" s="6" t="n"/>
      <c r="H39" s="5" t="n"/>
      <c r="I39" s="5" t="n"/>
    </row>
    <row r="40" ht="20" customHeight="1">
      <c r="A40" s="11" t="inlineStr">
        <is>
          <t>28</t>
        </is>
      </c>
      <c r="B40" s="5" t="n"/>
      <c r="C40" s="5" t="n"/>
      <c r="D40" s="6" t="n"/>
      <c r="E40" s="5" t="n"/>
      <c r="F40" s="5" t="n"/>
      <c r="G40" s="6" t="n"/>
      <c r="H40" s="5" t="n"/>
      <c r="I40" s="5" t="n"/>
    </row>
    <row r="41" ht="20" customHeight="1">
      <c r="A41" s="11" t="inlineStr">
        <is>
          <t>29</t>
        </is>
      </c>
      <c r="B41" s="5" t="n"/>
      <c r="C41" s="5" t="n"/>
      <c r="D41" s="6" t="n"/>
      <c r="E41" s="5" t="n"/>
      <c r="F41" s="5" t="n"/>
      <c r="G41" s="6" t="n"/>
      <c r="H41" s="5" t="n"/>
      <c r="I41" s="5" t="n"/>
    </row>
    <row r="42" ht="20" customHeight="1">
      <c r="A42" s="11" t="inlineStr">
        <is>
          <t>30</t>
        </is>
      </c>
      <c r="B42" s="5" t="n"/>
      <c r="C42" s="5" t="n"/>
      <c r="D42" s="6" t="n"/>
      <c r="E42" s="5" t="n"/>
      <c r="F42" s="5" t="n"/>
      <c r="G42" s="6" t="n"/>
      <c r="H42" s="5" t="n"/>
      <c r="I42" s="5" t="n"/>
    </row>
    <row r="43" ht="20" customHeight="1">
      <c r="A43" s="11" t="inlineStr">
        <is>
          <t>31</t>
        </is>
      </c>
      <c r="B43" s="5" t="n"/>
      <c r="C43" s="5" t="n"/>
      <c r="D43" s="6" t="n"/>
      <c r="E43" s="5" t="n"/>
      <c r="F43" s="5" t="n"/>
      <c r="G43" s="6" t="n"/>
      <c r="H43" s="5" t="n"/>
      <c r="I43" s="5" t="n"/>
    </row>
    <row r="44" ht="20" customHeight="1">
      <c r="A44" s="11" t="inlineStr">
        <is>
          <t>32</t>
        </is>
      </c>
      <c r="B44" s="5" t="n"/>
      <c r="C44" s="5" t="n"/>
      <c r="D44" s="6" t="n"/>
      <c r="E44" s="5" t="n"/>
      <c r="F44" s="5" t="n"/>
      <c r="G44" s="6" t="n"/>
      <c r="H44" s="5" t="n"/>
      <c r="I44" s="5" t="n"/>
    </row>
    <row r="45" ht="20" customHeight="1">
      <c r="A45" s="11" t="inlineStr">
        <is>
          <t>33</t>
        </is>
      </c>
      <c r="B45" s="5" t="n"/>
      <c r="C45" s="5" t="n"/>
      <c r="D45" s="6" t="n"/>
      <c r="E45" s="5" t="n"/>
      <c r="F45" s="5" t="n"/>
      <c r="G45" s="6" t="n"/>
      <c r="H45" s="5" t="n"/>
      <c r="I45" s="5" t="n"/>
    </row>
    <row r="46" ht="20" customHeight="1">
      <c r="A46" s="11" t="inlineStr">
        <is>
          <t>34</t>
        </is>
      </c>
      <c r="B46" s="5" t="n"/>
      <c r="C46" s="5" t="n"/>
      <c r="D46" s="6" t="n"/>
      <c r="E46" s="5" t="n"/>
      <c r="F46" s="5" t="n"/>
      <c r="G46" s="6" t="n"/>
      <c r="H46" s="5" t="n"/>
      <c r="I46" s="5" t="n"/>
    </row>
    <row r="47" ht="20" customHeight="1">
      <c r="A47" s="11" t="inlineStr">
        <is>
          <t>35</t>
        </is>
      </c>
      <c r="B47" s="5" t="n"/>
      <c r="C47" s="5" t="n"/>
      <c r="D47" s="6" t="n"/>
      <c r="E47" s="5" t="n"/>
      <c r="F47" s="5" t="n"/>
      <c r="G47" s="6" t="n"/>
      <c r="H47" s="5" t="n"/>
      <c r="I47" s="5" t="n"/>
    </row>
    <row r="48" ht="20" customHeight="1">
      <c r="A48" s="11" t="inlineStr">
        <is>
          <t>36</t>
        </is>
      </c>
      <c r="B48" s="5" t="n"/>
      <c r="C48" s="5" t="n"/>
      <c r="D48" s="6" t="n"/>
      <c r="E48" s="5" t="n"/>
      <c r="F48" s="5" t="n"/>
      <c r="G48" s="6" t="n"/>
      <c r="H48" s="5" t="n"/>
      <c r="I48" s="5" t="n"/>
    </row>
    <row r="49" ht="20" customHeight="1">
      <c r="A49" s="11" t="inlineStr">
        <is>
          <t>37</t>
        </is>
      </c>
      <c r="B49" s="5" t="n"/>
      <c r="C49" s="5" t="n"/>
      <c r="D49" s="6" t="n"/>
      <c r="E49" s="5" t="n"/>
      <c r="F49" s="5" t="n"/>
      <c r="G49" s="6" t="n"/>
      <c r="H49" s="5" t="n"/>
      <c r="I49" s="5" t="n"/>
    </row>
    <row r="50" ht="20" customHeight="1">
      <c r="A50" s="11" t="inlineStr">
        <is>
          <t>38</t>
        </is>
      </c>
      <c r="B50" s="5" t="n"/>
      <c r="C50" s="5" t="n"/>
      <c r="D50" s="6" t="n"/>
      <c r="E50" s="5" t="n"/>
      <c r="F50" s="5" t="n"/>
      <c r="G50" s="6" t="n"/>
      <c r="H50" s="5" t="n"/>
      <c r="I50" s="5" t="n"/>
    </row>
    <row r="51" ht="20" customHeight="1">
      <c r="A51" s="11" t="inlineStr">
        <is>
          <t>39</t>
        </is>
      </c>
      <c r="B51" s="5" t="n"/>
      <c r="C51" s="5" t="n"/>
      <c r="D51" s="6" t="n"/>
      <c r="E51" s="5" t="n"/>
      <c r="F51" s="5" t="n"/>
      <c r="G51" s="6" t="n"/>
      <c r="H51" s="5" t="n"/>
      <c r="I51" s="5" t="n"/>
    </row>
    <row r="52" ht="20" customHeight="1">
      <c r="A52" s="11" t="inlineStr">
        <is>
          <t>40</t>
        </is>
      </c>
      <c r="B52" s="5" t="n"/>
      <c r="C52" s="5" t="n"/>
      <c r="D52" s="6" t="n"/>
      <c r="E52" s="5" t="n"/>
      <c r="F52" s="5" t="n"/>
      <c r="G52" s="6" t="n"/>
      <c r="H52" s="5" t="n"/>
      <c r="I52" s="5" t="n"/>
    </row>
    <row r="53" ht="20" customHeight="1">
      <c r="A53" s="6" t="n"/>
      <c r="B53" s="5" t="n"/>
      <c r="C53" s="5" t="n"/>
      <c r="D53" s="6" t="n"/>
      <c r="E53" s="5" t="n"/>
      <c r="F53" s="5" t="n"/>
      <c r="G53" s="6" t="n"/>
      <c r="H53" s="5" t="n"/>
      <c r="I53" s="5" t="n"/>
    </row>
    <row r="54" ht="20" customHeight="1">
      <c r="A54" s="6" t="n"/>
      <c r="B54" s="5" t="n"/>
      <c r="C54" s="5" t="n"/>
      <c r="D54" s="6" t="n"/>
      <c r="E54" s="5" t="n"/>
      <c r="F54" s="5" t="n"/>
      <c r="G54" s="6" t="n"/>
      <c r="H54" s="5" t="n"/>
      <c r="I54" s="5" t="n"/>
    </row>
    <row r="55" ht="20" customHeight="1">
      <c r="A55" s="6" t="n"/>
      <c r="B55" s="5" t="n"/>
      <c r="C55" s="5" t="n"/>
      <c r="D55" s="6" t="n"/>
      <c r="E55" s="5" t="n"/>
      <c r="F55" s="5" t="n"/>
      <c r="G55" s="6" t="n"/>
      <c r="H55" s="5" t="n"/>
      <c r="I55" s="5" t="n"/>
    </row>
    <row r="56" ht="20" customHeight="1">
      <c r="A56" s="6" t="n"/>
      <c r="B56" s="5" t="n"/>
      <c r="C56" s="5" t="n"/>
      <c r="D56" s="6" t="n"/>
      <c r="E56" s="5" t="n"/>
      <c r="F56" s="5" t="n"/>
      <c r="G56" s="6" t="n"/>
      <c r="H56" s="5" t="n"/>
      <c r="I56" s="5" t="n"/>
    </row>
    <row r="57" ht="20" customHeight="1">
      <c r="A57" s="6" t="n"/>
      <c r="B57" s="5" t="n"/>
      <c r="C57" s="5" t="n"/>
      <c r="D57" s="6" t="n"/>
      <c r="E57" s="5" t="n"/>
      <c r="F57" s="5" t="n"/>
      <c r="G57" s="6" t="n"/>
      <c r="H57" s="5" t="n"/>
      <c r="I57" s="5" t="n"/>
    </row>
    <row r="58" ht="20" customHeight="1">
      <c r="A58" s="6" t="n"/>
      <c r="B58" s="5" t="n"/>
      <c r="C58" s="5" t="n"/>
      <c r="D58" s="6" t="n"/>
      <c r="E58" s="5" t="n"/>
      <c r="F58" s="5" t="n"/>
      <c r="G58" s="6" t="n"/>
      <c r="H58" s="5" t="n"/>
      <c r="I58" s="5" t="n"/>
    </row>
    <row r="59" ht="20" customHeight="1">
      <c r="A59" s="6" t="n"/>
      <c r="B59" s="5" t="n"/>
      <c r="C59" s="5" t="n"/>
      <c r="D59" s="6" t="n"/>
      <c r="E59" s="5" t="n"/>
      <c r="F59" s="5" t="n"/>
      <c r="G59" s="6" t="n"/>
      <c r="H59" s="5" t="n"/>
      <c r="I59" s="5" t="n"/>
    </row>
    <row r="60" ht="20" customHeight="1">
      <c r="A60" s="6" t="n"/>
      <c r="B60" s="5" t="n"/>
      <c r="C60" s="5" t="n"/>
      <c r="D60" s="6" t="n"/>
      <c r="E60" s="5" t="n"/>
      <c r="F60" s="5" t="n"/>
      <c r="G60" s="6" t="n"/>
      <c r="H60" s="5" t="n"/>
      <c r="I60" s="5" t="n"/>
    </row>
    <row r="61" ht="20" customHeight="1">
      <c r="A61" s="6" t="n"/>
      <c r="B61" s="5" t="n"/>
      <c r="C61" s="5" t="n"/>
      <c r="D61" s="6" t="n"/>
      <c r="E61" s="5" t="n"/>
      <c r="F61" s="5" t="n"/>
      <c r="G61" s="6" t="n"/>
      <c r="H61" s="5" t="n"/>
      <c r="I61" s="5" t="n"/>
    </row>
    <row r="62" ht="20" customHeight="1">
      <c r="A62" s="6" t="n"/>
      <c r="B62" s="5" t="n"/>
      <c r="C62" s="5" t="n"/>
      <c r="D62" s="6" t="n"/>
      <c r="E62" s="5" t="n"/>
      <c r="F62" s="5" t="n"/>
      <c r="G62" s="6" t="n"/>
      <c r="H62" s="5" t="n"/>
      <c r="I62" s="5" t="n"/>
    </row>
    <row r="63" ht="20" customHeight="1">
      <c r="A63" s="6" t="n"/>
      <c r="B63" s="5" t="n"/>
      <c r="C63" s="5" t="n"/>
      <c r="D63" s="6" t="n"/>
      <c r="E63" s="5" t="n"/>
      <c r="F63" s="5" t="n"/>
      <c r="G63" s="6" t="n"/>
      <c r="H63" s="5" t="n"/>
      <c r="I63" s="5" t="n"/>
    </row>
    <row r="64" ht="20" customHeight="1">
      <c r="A64" s="6" t="n"/>
      <c r="B64" s="5" t="n"/>
      <c r="C64" s="5" t="n"/>
      <c r="D64" s="6" t="n"/>
      <c r="E64" s="5" t="n"/>
      <c r="F64" s="5" t="n"/>
      <c r="G64" s="6" t="n"/>
      <c r="H64" s="5" t="n"/>
      <c r="I64" s="5" t="n"/>
    </row>
    <row r="65" ht="20" customHeight="1">
      <c r="A65" s="6" t="n"/>
      <c r="B65" s="5" t="n"/>
      <c r="C65" s="5" t="n"/>
      <c r="D65" s="6" t="n"/>
      <c r="E65" s="5" t="n"/>
      <c r="F65" s="5" t="n"/>
      <c r="G65" s="6" t="n"/>
      <c r="H65" s="5" t="n"/>
      <c r="I65" s="5" t="n"/>
    </row>
    <row r="66" ht="20" customHeight="1">
      <c r="A66" s="6" t="n"/>
      <c r="B66" s="5" t="n"/>
      <c r="C66" s="5" t="n"/>
      <c r="D66" s="6" t="n"/>
      <c r="E66" s="5" t="n"/>
      <c r="F66" s="5" t="n"/>
      <c r="G66" s="6" t="n"/>
      <c r="H66" s="5" t="n"/>
      <c r="I66" s="5" t="n"/>
    </row>
    <row r="67" ht="20" customHeight="1">
      <c r="A67" s="6" t="n"/>
      <c r="B67" s="5" t="n"/>
      <c r="C67" s="5" t="n"/>
      <c r="D67" s="6" t="n"/>
      <c r="E67" s="5" t="n"/>
      <c r="F67" s="5" t="n"/>
      <c r="G67" s="6" t="n"/>
      <c r="H67" s="5" t="n"/>
      <c r="I67" s="5" t="n"/>
    </row>
    <row r="68" ht="20" customHeight="1">
      <c r="A68" s="6" t="n"/>
      <c r="B68" s="5" t="n"/>
      <c r="C68" s="5" t="n"/>
      <c r="D68" s="6" t="n"/>
      <c r="E68" s="5" t="n"/>
      <c r="F68" s="5" t="n"/>
      <c r="G68" s="6" t="n"/>
      <c r="H68" s="5" t="n"/>
      <c r="I68" s="5" t="n"/>
    </row>
    <row r="69" ht="20" customHeight="1">
      <c r="A69" s="6" t="n"/>
      <c r="B69" s="5" t="n"/>
      <c r="C69" s="5" t="n"/>
      <c r="D69" s="6" t="n"/>
      <c r="E69" s="5" t="n"/>
      <c r="F69" s="5" t="n"/>
      <c r="G69" s="6" t="n"/>
      <c r="H69" s="5" t="n"/>
      <c r="I69" s="5" t="n"/>
    </row>
    <row r="70" ht="20" customHeight="1">
      <c r="A70" s="6" t="n"/>
      <c r="B70" s="5" t="n"/>
      <c r="C70" s="5" t="n"/>
      <c r="D70" s="6" t="n"/>
      <c r="E70" s="5" t="n"/>
      <c r="F70" s="5" t="n"/>
      <c r="G70" s="6" t="n"/>
      <c r="H70" s="5" t="n"/>
      <c r="I70" s="5" t="n"/>
    </row>
    <row r="71" ht="6" customHeight="1"/>
    <row r="72" ht="16" customHeight="1">
      <c r="A72" s="7" t="inlineStr">
        <is>
          <t>첨부·대체 기록 번호와 보관 경로 / 적용 제외(해당없음) 사유 / 미결 확인 :</t>
        </is>
      </c>
      <c r="B72" s="13" t="n"/>
      <c r="C72" s="13" t="n"/>
      <c r="D72" s="13" t="n"/>
      <c r="E72" s="13" t="n"/>
      <c r="F72" s="8" t="inlineStr">
        <is>
          <t>구분</t>
        </is>
      </c>
      <c r="G72" s="8" t="inlineStr">
        <is>
          <t>작성</t>
        </is>
      </c>
      <c r="H72" s="8" t="inlineStr">
        <is>
          <t>검토</t>
        </is>
      </c>
      <c r="I72" s="8" t="inlineStr">
        <is>
          <t>승인</t>
        </is>
      </c>
    </row>
    <row r="73" ht="28" customHeight="1">
      <c r="A73" s="13" t="n"/>
      <c r="B73" s="13" t="n"/>
      <c r="C73" s="13" t="n"/>
      <c r="D73" s="13" t="n"/>
      <c r="E73" s="13" t="n"/>
      <c r="F73" s="9" t="inlineStr">
        <is>
          <t>성명·서명</t>
        </is>
      </c>
      <c r="G73" s="10" t="n"/>
      <c r="H73" s="10" t="n"/>
      <c r="I73" s="10" t="n"/>
    </row>
    <row r="74" ht="16" customHeight="1">
      <c r="A74" s="13" t="n"/>
      <c r="B74" s="13" t="n"/>
      <c r="C74" s="13" t="n"/>
      <c r="D74" s="13" t="n"/>
      <c r="E74" s="13" t="n"/>
      <c r="F74" s="9" t="inlineStr">
        <is>
          <t>일자</t>
        </is>
      </c>
      <c r="G74" s="10" t="n"/>
      <c r="H74" s="10" t="n"/>
      <c r="I74" s="10" t="n"/>
    </row>
  </sheetData>
  <mergeCells count="12">
    <mergeCell ref="A2:I2"/>
    <mergeCell ref="A7:B7"/>
    <mergeCell ref="G6:I6"/>
    <mergeCell ref="A10:I10"/>
    <mergeCell ref="C5:D5"/>
    <mergeCell ref="A5:B5"/>
    <mergeCell ref="A72:E74"/>
    <mergeCell ref="A9:I9"/>
    <mergeCell ref="H5:I5"/>
    <mergeCell ref="A3:I3"/>
    <mergeCell ref="C7:I7"/>
    <mergeCell ref="A6:B6"/>
  </mergeCells>
  <conditionalFormatting sqref="D13:D70">
    <cfRule type="expression" priority="1" dxfId="0">
      <formula>OR(D13="불합격",D13="보류",D13="부적합",D13="미흡",D13="미준수",D13="미확인",D13="실패",D13="사용금지",D13="중지·개선",D13="재교육·동행",D13="C 발주중지",D13="중요")</formula>
    </cfRule>
  </conditionalFormatting>
  <conditionalFormatting sqref="G13:G70">
    <cfRule type="expression" priority="2" dxfId="0">
      <formula>OR(G13="불합격",G13="보류",G13="부적합",G13="미흡",G13="미준수",G13="미확인",G13="실패",G13="사용금지",G13="중지·개선",G13="재교육·동행",G13="C 발주중지",G13="중요")</formula>
    </cfRule>
  </conditionalFormatting>
  <dataValidations count="2">
    <dataValidation sqref="D13:D70" showDropDown="0" showInputMessage="0" showErrorMessage="0" allowBlank="1" error="목록에서 고르십시오: DI, DO, AI, AO, 통신, 인터록, 알람" type="list" errorStyle="warning">
      <formula1>"DI,DO,AI,AO,통신,인터록,알람"</formula1>
    </dataValidation>
    <dataValidation sqref="G13:G70"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DI-QF-06-1 Rev.00 | 페이지 &amp;P / 전체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2:G27"/>
  <sheetViews>
    <sheetView showGridLines="0" workbookViewId="0">
      <selection activeCell="A1" sqref="A1"/>
    </sheetView>
  </sheetViews>
  <sheetFormatPr baseColWidth="8" defaultRowHeight="15"/>
  <cols>
    <col width="17.9" customWidth="1" min="1" max="1"/>
    <col width="31.4" customWidth="1" min="2" max="2"/>
    <col width="24.6" customWidth="1" min="3" max="3"/>
    <col width="12.3" customWidth="1" min="4" max="4"/>
    <col width="22.4" customWidth="1" min="5" max="5"/>
    <col width="15.7" customWidth="1" min="6" max="6"/>
    <col width="15.7" customWidth="1" min="7" max="7"/>
  </cols>
  <sheetData>
    <row r="1" ht="22" customHeight="1"/>
    <row r="2" ht="28" customHeight="1">
      <c r="A2" s="1" t="inlineStr">
        <is>
          <t>SAT 시운전 및 고객 인수</t>
        </is>
      </c>
      <c r="B2" s="1" t="n"/>
      <c r="C2" s="1" t="n"/>
      <c r="D2" s="1" t="n"/>
      <c r="E2" s="1" t="n"/>
      <c r="F2" s="1" t="n"/>
      <c r="G2" s="1" t="n"/>
    </row>
    <row r="3" ht="16" customHeight="1">
      <c r="A3" s="2" t="inlineStr">
        <is>
          <t>동인엔시스 | DI-QF-07 | Rev.00 | 제정 2026.10.01 | 시행 2026.10.01 (대표 승인)   ·   담당: 시운전 담당 / 품질 | 작성: 현장별·미결종결 시</t>
        </is>
      </c>
      <c r="B3" s="2" t="n"/>
      <c r="C3" s="2" t="n"/>
      <c r="D3" s="2" t="n"/>
      <c r="E3" s="2" t="n"/>
      <c r="F3" s="2" t="n"/>
      <c r="G3" s="2" t="n"/>
    </row>
    <row r="4" ht="4" customHeight="1"/>
    <row r="5" ht="20" customHeight="1">
      <c r="A5" s="12" t="inlineStr">
        <is>
          <t>프로젝트 번호</t>
        </is>
      </c>
      <c r="B5" s="10" t="n"/>
      <c r="C5" s="10" t="n"/>
      <c r="D5" s="12" t="inlineStr">
        <is>
          <t>현장</t>
        </is>
      </c>
      <c r="E5" s="10" t="n"/>
      <c r="F5" s="10" t="n"/>
      <c r="G5" s="10" t="n"/>
    </row>
    <row r="6" ht="20" customHeight="1">
      <c r="A6" s="12" t="inlineStr">
        <is>
          <t>판넬 번호</t>
        </is>
      </c>
      <c r="B6" s="10" t="n"/>
      <c r="C6" s="10" t="n"/>
      <c r="D6" s="12" t="inlineStr">
        <is>
          <t>고객</t>
        </is>
      </c>
      <c r="E6" s="10" t="n"/>
      <c r="F6" s="10" t="n"/>
      <c r="G6" s="10" t="n"/>
    </row>
    <row r="7" ht="20" customHeight="1">
      <c r="A7" s="12" t="inlineStr">
        <is>
          <t>시운전일 / 담당</t>
        </is>
      </c>
      <c r="B7" s="10" t="n"/>
      <c r="C7" s="10" t="n"/>
      <c r="D7" s="10" t="n"/>
      <c r="E7" s="12" t="inlineStr">
        <is>
          <t>도면 Rev / PLC 최종 Ver</t>
        </is>
      </c>
      <c r="F7" s="10" t="n"/>
      <c r="G7" s="10" t="n"/>
    </row>
    <row r="8" ht="20" customHeight="1">
      <c r="A8" s="12" t="inlineStr">
        <is>
          <t>SF-02 / SF-03 번호</t>
        </is>
      </c>
      <c r="B8" s="10" t="n"/>
      <c r="C8" s="10" t="n"/>
      <c r="D8" s="12" t="inlineStr">
        <is>
          <t>고객 인수 확인자·서명 또는 메일</t>
        </is>
      </c>
      <c r="E8" s="12" t="n"/>
      <c r="F8" s="10" t="n"/>
      <c r="G8" s="10" t="n"/>
    </row>
    <row r="9" ht="5" customHeight="1"/>
    <row r="10" ht="14.15" customHeight="1">
      <c r="A10" s="2" t="inlineStr">
        <is>
          <t>외주 배선·절연·접지 확인 후 통전한다. 안전·필수기능 미결은 인수 불가. 기타 미결(Punch list)은 담당·기한을 정하고 고객과 서면 합의하며 종결 증거를 남긴다.</t>
        </is>
      </c>
      <c r="B10" s="2" t="n"/>
      <c r="C10" s="2" t="n"/>
      <c r="D10" s="2" t="n"/>
      <c r="E10" s="2" t="n"/>
      <c r="F10" s="2" t="n"/>
      <c r="G10" s="2" t="n"/>
    </row>
    <row r="11" ht="5" customHeight="1"/>
    <row r="12" ht="26" customHeight="1">
      <c r="A12" s="3" t="inlineStr">
        <is>
          <t>항목·시나리오</t>
        </is>
      </c>
      <c r="B12" s="3" t="inlineStr">
        <is>
          <t>기준·조건</t>
        </is>
      </c>
      <c r="C12" s="3" t="inlineStr">
        <is>
          <t>결과·증거</t>
        </is>
      </c>
      <c r="D12" s="3" t="inlineStr">
        <is>
          <t>판정</t>
        </is>
      </c>
      <c r="E12" s="3" t="inlineStr">
        <is>
          <t>미결·담당·기한</t>
        </is>
      </c>
      <c r="F12" s="3" t="inlineStr">
        <is>
          <t>완료·재확인</t>
        </is>
      </c>
      <c r="G12" s="3" t="inlineStr">
        <is>
          <t>고객 확인</t>
        </is>
      </c>
    </row>
    <row r="13" ht="24" customHeight="1">
      <c r="A13" s="4" t="inlineStr">
        <is>
          <t>도착·설치 상태</t>
        </is>
      </c>
      <c r="B13" s="4" t="inlineStr">
        <is>
          <t>운송 손상·고정·앵커·환기·주변 환경</t>
        </is>
      </c>
      <c r="C13" s="5" t="n"/>
      <c r="D13" s="6" t="n"/>
      <c r="E13" s="5" t="n"/>
      <c r="F13" s="5" t="n"/>
      <c r="G13" s="5" t="n"/>
    </row>
    <row r="14" ht="31.65" customHeight="1">
      <c r="A14" s="4" t="inlineStr">
        <is>
          <t>현장 배선(외주)</t>
        </is>
      </c>
      <c r="B14" s="4" t="inlineStr">
        <is>
          <t>승인 도면·단자·선번·체결, 외주 배선 검사</t>
        </is>
      </c>
      <c r="C14" s="5" t="n"/>
      <c r="D14" s="6" t="n"/>
      <c r="E14" s="5" t="n"/>
      <c r="F14" s="5" t="n"/>
      <c r="G14" s="5" t="n"/>
    </row>
    <row r="15" ht="24" customHeight="1">
      <c r="A15" s="4" t="inlineStr">
        <is>
          <t>절연·접지</t>
        </is>
      </c>
      <c r="B15" s="4" t="inlineStr">
        <is>
          <t>현장 시험기준</t>
        </is>
      </c>
      <c r="C15" s="5" t="n"/>
      <c r="D15" s="6" t="n"/>
      <c r="E15" s="5" t="n"/>
      <c r="F15" s="5" t="n"/>
      <c r="G15" s="5" t="n"/>
    </row>
    <row r="16" ht="24" customHeight="1">
      <c r="A16" s="4" t="inlineStr">
        <is>
          <t>전원 투입</t>
        </is>
      </c>
      <c r="B16" s="4" t="inlineStr">
        <is>
          <t>전압·상순·단계적 통전 (SF-02)</t>
        </is>
      </c>
      <c r="C16" s="5" t="n"/>
      <c r="D16" s="6" t="n"/>
      <c r="E16" s="5" t="n"/>
      <c r="F16" s="5" t="n"/>
      <c r="G16" s="5" t="n"/>
    </row>
    <row r="17" ht="31.65" customHeight="1">
      <c r="A17" s="4" t="inlineStr">
        <is>
          <t>I/O 루프체크·통신</t>
        </is>
      </c>
      <c r="B17" s="4" t="inlineStr">
        <is>
          <t>현장 기기↔판넬 점별(QF-06-1), 상위 통신 연동</t>
        </is>
      </c>
      <c r="C17" s="5" t="n"/>
      <c r="D17" s="6" t="n"/>
      <c r="E17" s="5" t="n"/>
      <c r="F17" s="5" t="n"/>
      <c r="G17" s="5" t="n"/>
    </row>
    <row r="18" ht="24" customHeight="1">
      <c r="A18" s="4" t="inlineStr">
        <is>
          <t>무부하·부하 연동</t>
        </is>
      </c>
      <c r="B18" s="4" t="inlineStr">
        <is>
          <t>승인 운전 시나리오</t>
        </is>
      </c>
      <c r="C18" s="5" t="n"/>
      <c r="D18" s="6" t="n"/>
      <c r="E18" s="5" t="n"/>
      <c r="F18" s="5" t="n"/>
      <c r="G18" s="5" t="n"/>
    </row>
    <row r="19" ht="24" customHeight="1">
      <c r="A19" s="4" t="inlineStr">
        <is>
          <t>인터록·비상정지</t>
        </is>
      </c>
      <c r="B19" s="4" t="inlineStr">
        <is>
          <t>안전 정지·재시작 조건</t>
        </is>
      </c>
      <c r="C19" s="5" t="n"/>
      <c r="D19" s="6" t="n"/>
      <c r="E19" s="5" t="n"/>
      <c r="F19" s="5" t="n"/>
      <c r="G19" s="5" t="n"/>
    </row>
    <row r="20" ht="24" customHeight="1">
      <c r="A20" s="4" t="inlineStr">
        <is>
          <t>고객 교육·인수</t>
        </is>
      </c>
      <c r="B20" s="4" t="inlineStr">
        <is>
          <t>운전·유지보수 자료 인계, 교육 참석자</t>
        </is>
      </c>
      <c r="C20" s="5" t="n"/>
      <c r="D20" s="6" t="n"/>
      <c r="E20" s="5" t="n"/>
      <c r="F20" s="5" t="n"/>
      <c r="G20" s="5" t="n"/>
    </row>
    <row r="21" ht="24" customHeight="1">
      <c r="A21" s="4" t="inlineStr">
        <is>
          <t>최종본</t>
        </is>
      </c>
      <c r="B21" s="4" t="inlineStr">
        <is>
          <t>PLC·파라미터·도면 백업 (QF-08)</t>
        </is>
      </c>
      <c r="C21" s="5" t="n"/>
      <c r="D21" s="6" t="n"/>
      <c r="E21" s="5" t="n"/>
      <c r="F21" s="5" t="n"/>
      <c r="G21" s="5" t="n"/>
    </row>
    <row r="22" ht="24" customHeight="1">
      <c r="A22" s="5" t="n"/>
      <c r="B22" s="5" t="n"/>
      <c r="C22" s="5" t="n"/>
      <c r="D22" s="6" t="n"/>
      <c r="E22" s="5" t="n"/>
      <c r="F22" s="5" t="n"/>
      <c r="G22" s="5" t="n"/>
    </row>
    <row r="23" ht="24" customHeight="1">
      <c r="A23" s="5" t="n"/>
      <c r="B23" s="5" t="n"/>
      <c r="C23" s="5" t="n"/>
      <c r="D23" s="6" t="n"/>
      <c r="E23" s="5" t="n"/>
      <c r="F23" s="5" t="n"/>
      <c r="G23" s="5" t="n"/>
    </row>
    <row r="24" ht="6" customHeight="1"/>
    <row r="25" ht="16" customHeight="1">
      <c r="A25" s="7" t="inlineStr">
        <is>
          <t>첨부·대체 기록 번호와 보관 경로 / 적용 제외(해당없음) 사유 / 미결 확인 :</t>
        </is>
      </c>
      <c r="B25" s="13" t="n"/>
      <c r="C25" s="13" t="n"/>
      <c r="D25" s="8" t="inlineStr">
        <is>
          <t>구분</t>
        </is>
      </c>
      <c r="E25" s="8" t="inlineStr">
        <is>
          <t>작성</t>
        </is>
      </c>
      <c r="F25" s="8" t="inlineStr">
        <is>
          <t>검토</t>
        </is>
      </c>
      <c r="G25" s="8" t="inlineStr">
        <is>
          <t>승인</t>
        </is>
      </c>
    </row>
    <row r="26" ht="28" customHeight="1">
      <c r="A26" s="13" t="n"/>
      <c r="B26" s="13" t="n"/>
      <c r="C26" s="13" t="n"/>
      <c r="D26" s="9" t="inlineStr">
        <is>
          <t>성명·서명</t>
        </is>
      </c>
      <c r="E26" s="10" t="n"/>
      <c r="F26" s="10" t="n"/>
      <c r="G26" s="10" t="n"/>
    </row>
    <row r="27" ht="16" customHeight="1">
      <c r="A27" s="13" t="n"/>
      <c r="B27" s="13" t="n"/>
      <c r="C27" s="13" t="n"/>
      <c r="D27" s="9" t="inlineStr">
        <is>
          <t>일자</t>
        </is>
      </c>
      <c r="E27" s="10" t="n"/>
      <c r="F27" s="10" t="n"/>
      <c r="G27" s="10" t="n"/>
    </row>
  </sheetData>
  <mergeCells count="13">
    <mergeCell ref="D8:E8"/>
    <mergeCell ref="B6:C6"/>
    <mergeCell ref="A10:G10"/>
    <mergeCell ref="A3:G3"/>
    <mergeCell ref="B5:C5"/>
    <mergeCell ref="E5:G5"/>
    <mergeCell ref="A2:G2"/>
    <mergeCell ref="A25:C27"/>
    <mergeCell ref="B7:D7"/>
    <mergeCell ref="B8:C8"/>
    <mergeCell ref="E6:G6"/>
    <mergeCell ref="F7:G7"/>
    <mergeCell ref="F8:G8"/>
  </mergeCells>
  <conditionalFormatting sqref="D13:D23">
    <cfRule type="expression" priority="1" dxfId="0">
      <formula>OR(D13="불합격",D13="보류",D13="부적합",D13="미흡",D13="미준수",D13="미확인",D13="실패",D13="사용금지",D13="중지·개선",D13="재교육·동행",D13="C 발주중지",D13="중요")</formula>
    </cfRule>
  </conditionalFormatting>
  <dataValidations count="1">
    <dataValidation sqref="D13:D23"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DI-QF-07 Rev.00 | 페이지 &amp;P / 전체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2:I24"/>
  <sheetViews>
    <sheetView showGridLines="0" workbookViewId="0">
      <pane ySplit="12" topLeftCell="A13" activePane="bottomLeft" state="frozen"/>
      <selection pane="bottomLeft" activeCell="A1" sqref="A1"/>
    </sheetView>
  </sheetViews>
  <sheetFormatPr baseColWidth="8" defaultRowHeight="15"/>
  <cols>
    <col width="9.5" customWidth="1" min="1" max="1"/>
    <col width="11.7" customWidth="1" min="2" max="2"/>
    <col width="11.7" customWidth="1" min="3" max="3"/>
    <col width="27.6" customWidth="1" min="4" max="4"/>
    <col width="21.2" customWidth="1" min="5" max="5"/>
    <col width="13.8" customWidth="1" min="6" max="6"/>
    <col width="13.8" customWidth="1" min="7" max="7"/>
    <col width="20.2" customWidth="1" min="8" max="8"/>
    <col width="10.6" customWidth="1" min="9" max="9"/>
  </cols>
  <sheetData>
    <row r="1" ht="22" customHeight="1"/>
    <row r="2" ht="28" customHeight="1">
      <c r="A2" s="1" t="inlineStr">
        <is>
          <t>PLC 및 파라미터 버전 관리</t>
        </is>
      </c>
      <c r="B2" s="1" t="n"/>
      <c r="C2" s="1" t="n"/>
      <c r="D2" s="1" t="n"/>
      <c r="E2" s="1" t="n"/>
      <c r="F2" s="1" t="n"/>
      <c r="G2" s="1" t="n"/>
      <c r="H2" s="1" t="n"/>
      <c r="I2" s="1" t="n"/>
    </row>
    <row r="3" ht="16" customHeight="1">
      <c r="A3" s="2" t="inlineStr">
        <is>
          <t>동인엔시스 | DI-QF-08 | Rev.00 | 제정 2026.10.01 | 시행 2026.10.01 (대표 승인)   ·   담당: 프로그램 / 기술팀 총괄 | 작성: 변경·FAT·출하·SAT 종료 시</t>
        </is>
      </c>
      <c r="B3" s="2" t="n"/>
      <c r="C3" s="2" t="n"/>
      <c r="D3" s="2" t="n"/>
      <c r="E3" s="2" t="n"/>
      <c r="F3" s="2" t="n"/>
      <c r="G3" s="2" t="n"/>
      <c r="H3" s="2" t="n"/>
      <c r="I3" s="2" t="n"/>
    </row>
    <row r="4" ht="4" customHeight="1"/>
    <row r="5" ht="20" customHeight="1">
      <c r="A5" s="12" t="inlineStr">
        <is>
          <t>프로젝트 번호</t>
        </is>
      </c>
      <c r="B5" s="12" t="n"/>
      <c r="C5" s="10" t="n"/>
      <c r="D5" s="10" t="n"/>
      <c r="E5" s="10" t="n"/>
      <c r="F5" s="12" t="inlineStr">
        <is>
          <t>판넬 번호</t>
        </is>
      </c>
      <c r="G5" s="10" t="n"/>
      <c r="H5" s="10" t="n"/>
      <c r="I5" s="10" t="n"/>
    </row>
    <row r="6" ht="20" customHeight="1">
      <c r="A6" s="12" t="inlineStr">
        <is>
          <t>PLC·HMI 기종</t>
        </is>
      </c>
      <c r="B6" s="12" t="n"/>
      <c r="C6" s="10" t="n"/>
      <c r="D6" s="10" t="n"/>
      <c r="E6" s="10" t="n"/>
      <c r="F6" s="12" t="inlineStr">
        <is>
          <t>개발도구·Ver</t>
        </is>
      </c>
      <c r="G6" s="10" t="n"/>
      <c r="H6" s="10" t="n"/>
      <c r="I6" s="10" t="n"/>
    </row>
    <row r="7" ht="28.3" customHeight="1">
      <c r="A7" s="12" t="inlineStr">
        <is>
          <t>복원 대상 (PLC·HMI·인버터 파라미터)</t>
        </is>
      </c>
      <c r="B7" s="12" t="n"/>
      <c r="C7" s="10" t="n"/>
      <c r="D7" s="10" t="n"/>
      <c r="E7" s="10" t="n"/>
      <c r="F7" s="12" t="inlineStr">
        <is>
          <t>담당자</t>
        </is>
      </c>
      <c r="G7" s="10" t="n"/>
      <c r="H7" s="10" t="n"/>
      <c r="I7" s="10" t="n"/>
    </row>
    <row r="8" ht="5" customHeight="1"/>
    <row r="9" ht="14.15" customHeight="1">
      <c r="A9" s="2" t="inlineStr">
        <is>
          <t>파일명 예: 프로젝트번호_판넬번호_PLC_V1.2_20261003. 이전 버전은 07_PLC 이력 폴더에 보관한다. 출하본과 SAT 최종본을 구분하고 복원 가능한 소스·설정파일을 저장한다.</t>
        </is>
      </c>
      <c r="B9" s="2" t="n"/>
      <c r="C9" s="2" t="n"/>
      <c r="D9" s="2" t="n"/>
      <c r="E9" s="2" t="n"/>
      <c r="F9" s="2" t="n"/>
      <c r="G9" s="2" t="n"/>
      <c r="H9" s="2" t="n"/>
      <c r="I9" s="2" t="n"/>
    </row>
    <row r="10" ht="14.15" customHeight="1">
      <c r="A10" s="2" t="inlineStr">
        <is>
          <t>PLC 변경 전 사유·영향·재검증 범위를 기록하고 기술팀 총괄이 승인한다. 필요한 검증(논리시험·FAT·SAT) 후 적용한다.</t>
        </is>
      </c>
      <c r="B10" s="2" t="n"/>
      <c r="C10" s="2" t="n"/>
      <c r="D10" s="2" t="n"/>
      <c r="E10" s="2" t="n"/>
      <c r="F10" s="2" t="n"/>
      <c r="G10" s="2" t="n"/>
      <c r="H10" s="2" t="n"/>
      <c r="I10" s="2" t="n"/>
    </row>
    <row r="11" ht="5" customHeight="1"/>
    <row r="12" ht="26" customHeight="1">
      <c r="A12" s="3" t="inlineStr">
        <is>
          <t>Ver</t>
        </is>
      </c>
      <c r="B12" s="3" t="inlineStr">
        <is>
          <t>일자</t>
        </is>
      </c>
      <c r="C12" s="3" t="inlineStr">
        <is>
          <t>구분</t>
        </is>
      </c>
      <c r="D12" s="3" t="inlineStr">
        <is>
          <t>변경자·내용·사유</t>
        </is>
      </c>
      <c r="E12" s="3" t="inlineStr">
        <is>
          <t>영향·재검증 범위</t>
        </is>
      </c>
      <c r="F12" s="3" t="inlineStr">
        <is>
          <t>시험기록</t>
        </is>
      </c>
      <c r="G12" s="3" t="inlineStr">
        <is>
          <t>승인자·일자</t>
        </is>
      </c>
      <c r="H12" s="3" t="inlineStr">
        <is>
          <t>원본·백업 경로</t>
        </is>
      </c>
      <c r="I12" s="3" t="inlineStr">
        <is>
          <t>고객 전달</t>
        </is>
      </c>
    </row>
    <row r="13" ht="24" customHeight="1">
      <c r="A13" s="5" t="n"/>
      <c r="B13" s="5" t="n"/>
      <c r="C13" s="6" t="n"/>
      <c r="D13" s="5" t="n"/>
      <c r="E13" s="5" t="n"/>
      <c r="F13" s="5" t="n"/>
      <c r="G13" s="5" t="n"/>
      <c r="H13" s="5" t="n"/>
      <c r="I13" s="6" t="n"/>
    </row>
    <row r="14" ht="24" customHeight="1">
      <c r="A14" s="5" t="n"/>
      <c r="B14" s="5" t="n"/>
      <c r="C14" s="6" t="n"/>
      <c r="D14" s="5" t="n"/>
      <c r="E14" s="5" t="n"/>
      <c r="F14" s="5" t="n"/>
      <c r="G14" s="5" t="n"/>
      <c r="H14" s="5" t="n"/>
      <c r="I14" s="6" t="n"/>
    </row>
    <row r="15" ht="24" customHeight="1">
      <c r="A15" s="5" t="n"/>
      <c r="B15" s="5" t="n"/>
      <c r="C15" s="6" t="n"/>
      <c r="D15" s="5" t="n"/>
      <c r="E15" s="5" t="n"/>
      <c r="F15" s="5" t="n"/>
      <c r="G15" s="5" t="n"/>
      <c r="H15" s="5" t="n"/>
      <c r="I15" s="6" t="n"/>
    </row>
    <row r="16" ht="24" customHeight="1">
      <c r="A16" s="5" t="n"/>
      <c r="B16" s="5" t="n"/>
      <c r="C16" s="6" t="n"/>
      <c r="D16" s="5" t="n"/>
      <c r="E16" s="5" t="n"/>
      <c r="F16" s="5" t="n"/>
      <c r="G16" s="5" t="n"/>
      <c r="H16" s="5" t="n"/>
      <c r="I16" s="6" t="n"/>
    </row>
    <row r="17" ht="24" customHeight="1">
      <c r="A17" s="5" t="n"/>
      <c r="B17" s="5" t="n"/>
      <c r="C17" s="6" t="n"/>
      <c r="D17" s="5" t="n"/>
      <c r="E17" s="5" t="n"/>
      <c r="F17" s="5" t="n"/>
      <c r="G17" s="5" t="n"/>
      <c r="H17" s="5" t="n"/>
      <c r="I17" s="6" t="n"/>
    </row>
    <row r="18" ht="24" customHeight="1">
      <c r="A18" s="5" t="n"/>
      <c r="B18" s="5" t="n"/>
      <c r="C18" s="6" t="n"/>
      <c r="D18" s="5" t="n"/>
      <c r="E18" s="5" t="n"/>
      <c r="F18" s="5" t="n"/>
      <c r="G18" s="5" t="n"/>
      <c r="H18" s="5" t="n"/>
      <c r="I18" s="6" t="n"/>
    </row>
    <row r="19" ht="24" customHeight="1">
      <c r="A19" s="5" t="n"/>
      <c r="B19" s="5" t="n"/>
      <c r="C19" s="6" t="n"/>
      <c r="D19" s="5" t="n"/>
      <c r="E19" s="5" t="n"/>
      <c r="F19" s="5" t="n"/>
      <c r="G19" s="5" t="n"/>
      <c r="H19" s="5" t="n"/>
      <c r="I19" s="6" t="n"/>
    </row>
    <row r="20" ht="24" customHeight="1">
      <c r="A20" s="5" t="n"/>
      <c r="B20" s="5" t="n"/>
      <c r="C20" s="6" t="n"/>
      <c r="D20" s="5" t="n"/>
      <c r="E20" s="5" t="n"/>
      <c r="F20" s="5" t="n"/>
      <c r="G20" s="5" t="n"/>
      <c r="H20" s="5" t="n"/>
      <c r="I20" s="6" t="n"/>
    </row>
    <row r="21" ht="6" customHeight="1"/>
    <row r="22" ht="16" customHeight="1">
      <c r="A22" s="7" t="inlineStr">
        <is>
          <t>첨부·대체 기록 번호와 보관 경로 / 적용 제외(해당없음) 사유 / 미결 확인 :</t>
        </is>
      </c>
      <c r="B22" s="13" t="n"/>
      <c r="C22" s="13" t="n"/>
      <c r="D22" s="13" t="n"/>
      <c r="E22" s="13" t="n"/>
      <c r="F22" s="8" t="inlineStr">
        <is>
          <t>구분</t>
        </is>
      </c>
      <c r="G22" s="8" t="inlineStr">
        <is>
          <t>작성</t>
        </is>
      </c>
      <c r="H22" s="8" t="inlineStr">
        <is>
          <t>검토</t>
        </is>
      </c>
      <c r="I22" s="8" t="inlineStr">
        <is>
          <t>승인</t>
        </is>
      </c>
    </row>
    <row r="23" ht="28" customHeight="1">
      <c r="A23" s="13" t="n"/>
      <c r="B23" s="13" t="n"/>
      <c r="C23" s="13" t="n"/>
      <c r="D23" s="13" t="n"/>
      <c r="E23" s="13" t="n"/>
      <c r="F23" s="9" t="inlineStr">
        <is>
          <t>성명·서명</t>
        </is>
      </c>
      <c r="G23" s="10" t="n"/>
      <c r="H23" s="10" t="n"/>
      <c r="I23" s="10" t="n"/>
    </row>
    <row r="24" ht="16" customHeight="1">
      <c r="A24" s="13" t="n"/>
      <c r="B24" s="13" t="n"/>
      <c r="C24" s="13" t="n"/>
      <c r="D24" s="13" t="n"/>
      <c r="E24" s="13" t="n"/>
      <c r="F24" s="9" t="inlineStr">
        <is>
          <t>일자</t>
        </is>
      </c>
      <c r="G24" s="10" t="n"/>
      <c r="H24" s="10" t="n"/>
      <c r="I24" s="10" t="n"/>
    </row>
  </sheetData>
  <mergeCells count="14">
    <mergeCell ref="A2:I2"/>
    <mergeCell ref="C5:E5"/>
    <mergeCell ref="G6:I6"/>
    <mergeCell ref="G5:I5"/>
    <mergeCell ref="A7:B7"/>
    <mergeCell ref="A10:I10"/>
    <mergeCell ref="A5:B5"/>
    <mergeCell ref="A9:I9"/>
    <mergeCell ref="A3:I3"/>
    <mergeCell ref="C7:E7"/>
    <mergeCell ref="G7:I7"/>
    <mergeCell ref="A6:B6"/>
    <mergeCell ref="C6:E6"/>
    <mergeCell ref="A22:E24"/>
  </mergeCells>
  <conditionalFormatting sqref="C13:C20">
    <cfRule type="expression" priority="1" dxfId="0">
      <formula>OR(C13="불합격",C13="보류",C13="부적합",C13="미흡",C13="미준수",C13="미확인",C13="실패",C13="사용금지",C13="중지·개선",C13="재교육·동행",C13="C 발주중지",C13="중요")</formula>
    </cfRule>
  </conditionalFormatting>
  <conditionalFormatting sqref="I13:I20">
    <cfRule type="expression" priority="2" dxfId="0">
      <formula>OR(I13="불합격",I13="보류",I13="부적합",I13="미흡",I13="미준수",I13="미확인",I13="실패",I13="사용금지",I13="중지·개선",I13="재교육·동행",I13="C 발주중지",I13="중요")</formula>
    </cfRule>
  </conditionalFormatting>
  <dataValidations count="2">
    <dataValidation sqref="C13:C20" showDropDown="0" showInputMessage="0" showErrorMessage="0" allowBlank="1" error="목록에서 고르십시오: 개발, FAT, 출하, SAT 최종, AS 변경" type="list" errorStyle="warning">
      <formula1>"개발,FAT,출하,SAT 최종,AS 변경"</formula1>
    </dataValidation>
    <dataValidation sqref="I13:I20" showDropDown="0" showInputMessage="0" showErrorMessage="0" allowBlank="1" error="목록에서 고르십시오: 전달, 미전달, 해당없음" type="list" errorStyle="warning">
      <formula1>"전달,미전달,해당없음"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DI-QF-08 Rev.00 | 페이지 &amp;P / 전체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2:G26"/>
  <sheetViews>
    <sheetView showGridLines="0" workbookViewId="0">
      <selection activeCell="A1" sqref="A1"/>
    </sheetView>
  </sheetViews>
  <sheetFormatPr baseColWidth="8" defaultRowHeight="15"/>
  <cols>
    <col width="15.4" customWidth="1" min="1" max="1"/>
    <col width="39.7" customWidth="1" min="2" max="2"/>
    <col width="13.2" customWidth="1" min="3" max="3"/>
    <col width="12.1" customWidth="1" min="4" max="4"/>
    <col width="22" customWidth="1" min="5" max="5"/>
    <col width="22" customWidth="1" min="6" max="6"/>
    <col width="15.4" customWidth="1" min="7" max="7"/>
  </cols>
  <sheetData>
    <row r="1" ht="22" customHeight="1"/>
    <row r="2" ht="28" customHeight="1">
      <c r="A2" s="1" t="inlineStr">
        <is>
          <t>부적합 사건 및 시정조치</t>
        </is>
      </c>
      <c r="B2" s="1" t="n"/>
      <c r="C2" s="1" t="n"/>
      <c r="D2" s="1" t="n"/>
      <c r="E2" s="1" t="n"/>
      <c r="F2" s="1" t="n"/>
      <c r="G2" s="1" t="n"/>
    </row>
    <row r="3" ht="16" customHeight="1">
      <c r="A3" s="2" t="inlineStr">
        <is>
          <t>동인엔시스 | DI-QF-09 | Rev.00 | 제정 2026.10.01 | 시행 2026.10.01 (대표 승인)   ·   담당: 품질 / 안전·환경 담당 | 작성: 발견·사건·클레임 시</t>
        </is>
      </c>
      <c r="B3" s="2" t="n"/>
      <c r="C3" s="2" t="n"/>
      <c r="D3" s="2" t="n"/>
      <c r="E3" s="2" t="n"/>
      <c r="F3" s="2" t="n"/>
      <c r="G3" s="2" t="n"/>
    </row>
    <row r="4" ht="4" customHeight="1"/>
    <row r="5" ht="20" customHeight="1">
      <c r="A5" s="12" t="inlineStr">
        <is>
          <t>NCR 번호</t>
        </is>
      </c>
      <c r="B5" s="10" t="n"/>
      <c r="C5" s="10" t="n"/>
      <c r="D5" s="12" t="inlineStr">
        <is>
          <t>구분</t>
        </is>
      </c>
      <c r="E5" s="10" t="n"/>
      <c r="F5" s="10" t="n"/>
      <c r="G5" s="10" t="n"/>
    </row>
    <row r="6" ht="20" customHeight="1">
      <c r="A6" s="12" t="inlineStr">
        <is>
          <t>발생일 / 발견자</t>
        </is>
      </c>
      <c r="B6" s="10" t="n"/>
      <c r="C6" s="10" t="n"/>
      <c r="D6" s="10" t="n"/>
      <c r="E6" s="12" t="inlineStr">
        <is>
          <t>프로젝트·판넬 LOT·공정</t>
        </is>
      </c>
      <c r="F6" s="10" t="n"/>
      <c r="G6" s="10" t="n"/>
    </row>
    <row r="7" ht="20" customHeight="1">
      <c r="A7" s="12" t="inlineStr">
        <is>
          <t>내용·증거</t>
        </is>
      </c>
      <c r="B7" s="10" t="n"/>
      <c r="C7" s="10" t="n"/>
      <c r="D7" s="10" t="n"/>
      <c r="E7" s="10" t="n"/>
      <c r="F7" s="10" t="n"/>
      <c r="G7" s="10" t="n"/>
    </row>
    <row r="8" ht="28.3" customHeight="1">
      <c r="A8" s="12" t="inlineStr">
        <is>
          <t>격리·작업중지·고객통보</t>
        </is>
      </c>
      <c r="B8" s="10" t="n"/>
      <c r="C8" s="12" t="inlineStr">
        <is>
          <t>처분 (수정·반품·폐기·특채)</t>
        </is>
      </c>
      <c r="D8" s="12" t="n"/>
      <c r="E8" s="10" t="n"/>
      <c r="F8" s="10" t="n"/>
      <c r="G8" s="10" t="n"/>
    </row>
    <row r="9" ht="28.3" customHeight="1">
      <c r="A9" s="12" t="inlineStr">
        <is>
          <t>특채 시 고객 승인 증거</t>
        </is>
      </c>
      <c r="B9" s="10" t="n"/>
      <c r="C9" s="12" t="inlineStr">
        <is>
          <t>AS: 보증 판정·교체부품(QF-04 이력)</t>
        </is>
      </c>
      <c r="D9" s="12" t="n"/>
      <c r="E9" s="10" t="n"/>
      <c r="F9" s="10" t="n"/>
      <c r="G9" s="10" t="n"/>
    </row>
    <row r="10" ht="5" customHeight="1"/>
    <row r="11" ht="14.15" customHeight="1">
      <c r="A11" s="2" t="inlineStr">
        <is>
          <t>단순 수정과 재발방지 조치를 구분한다. 원인·유사품·기존 납품 영향·재검사·효과를 확인한다. 안전·법규 의무는 특채로 면제할 수 없다.</t>
        </is>
      </c>
      <c r="B11" s="2" t="n"/>
      <c r="C11" s="2" t="n"/>
      <c r="D11" s="2" t="n"/>
      <c r="E11" s="2" t="n"/>
      <c r="F11" s="2" t="n"/>
      <c r="G11" s="2" t="n"/>
    </row>
    <row r="12" ht="14.15" customHeight="1">
      <c r="A12" s="2" t="inlineStr">
        <is>
          <t>안전사건은 해당 작업 근로자 참여·SF-01 재평가를 포함한다(재해는 SF-10과 연결). AS는 접수 → 원인 → 조치 → 재시험 → 고객 통보 순으로 기록하고 QF-14에 연결한다.</t>
        </is>
      </c>
      <c r="B12" s="2" t="n"/>
      <c r="C12" s="2" t="n"/>
      <c r="D12" s="2" t="n"/>
      <c r="E12" s="2" t="n"/>
      <c r="F12" s="2" t="n"/>
      <c r="G12" s="2" t="n"/>
    </row>
    <row r="13" ht="5" customHeight="1"/>
    <row r="14" ht="26" customHeight="1">
      <c r="A14" s="3" t="inlineStr">
        <is>
          <t>조치 단계</t>
        </is>
      </c>
      <c r="B14" s="3" t="inlineStr">
        <is>
          <t>내용·원인·대책</t>
        </is>
      </c>
      <c r="C14" s="3" t="inlineStr">
        <is>
          <t>담당자</t>
        </is>
      </c>
      <c r="D14" s="3" t="inlineStr">
        <is>
          <t>기한</t>
        </is>
      </c>
      <c r="E14" s="3" t="inlineStr">
        <is>
          <t>완료 증거</t>
        </is>
      </c>
      <c r="F14" s="3" t="inlineStr">
        <is>
          <t>효과 확인기준·결과</t>
        </is>
      </c>
      <c r="G14" s="3" t="inlineStr">
        <is>
          <t>확인자·종결일</t>
        </is>
      </c>
    </row>
    <row r="15" ht="26" customHeight="1">
      <c r="A15" s="4" t="inlineStr">
        <is>
          <t>봉쇄·수정</t>
        </is>
      </c>
      <c r="B15" s="4" t="inlineStr">
        <is>
          <t>유출·추가 피해 방지, 즉시 조치</t>
        </is>
      </c>
      <c r="C15" s="5" t="n"/>
      <c r="D15" s="5" t="n"/>
      <c r="E15" s="5" t="n"/>
      <c r="F15" s="5" t="n"/>
      <c r="G15" s="5" t="n"/>
    </row>
    <row r="16" ht="26" customHeight="1">
      <c r="A16" s="4" t="inlineStr">
        <is>
          <t>원인·영향</t>
        </is>
      </c>
      <c r="B16" s="4" t="inlineStr">
        <is>
          <t>근본원인·유사품·기존 납품 영향</t>
        </is>
      </c>
      <c r="C16" s="5" t="n"/>
      <c r="D16" s="5" t="n"/>
      <c r="E16" s="5" t="n"/>
      <c r="F16" s="5" t="n"/>
      <c r="G16" s="5" t="n"/>
    </row>
    <row r="17" ht="26" customHeight="1">
      <c r="A17" s="4" t="inlineStr">
        <is>
          <t>시정조치</t>
        </is>
      </c>
      <c r="B17" s="4" t="inlineStr">
        <is>
          <t>재발방지·시스템(도면·WI·교육) 변경</t>
        </is>
      </c>
      <c r="C17" s="5" t="n"/>
      <c r="D17" s="5" t="n"/>
      <c r="E17" s="5" t="n"/>
      <c r="F17" s="5" t="n"/>
      <c r="G17" s="5" t="n"/>
    </row>
    <row r="18" ht="26" customHeight="1">
      <c r="A18" s="4" t="inlineStr">
        <is>
          <t>재검사</t>
        </is>
      </c>
      <c r="B18" s="4" t="inlineStr">
        <is>
          <t>제품/작업 적합 확인</t>
        </is>
      </c>
      <c r="C18" s="5" t="n"/>
      <c r="D18" s="5" t="n"/>
      <c r="E18" s="5" t="n"/>
      <c r="F18" s="5" t="n"/>
      <c r="G18" s="5" t="n"/>
    </row>
    <row r="19" ht="26" customHeight="1">
      <c r="A19" s="4" t="inlineStr">
        <is>
          <t>고객 통보</t>
        </is>
      </c>
      <c r="B19" s="4" t="inlineStr">
        <is>
          <t>통보일·방법·고객 회신 (해당 시)</t>
        </is>
      </c>
      <c r="C19" s="5" t="n"/>
      <c r="D19" s="5" t="n"/>
      <c r="E19" s="5" t="n"/>
      <c r="F19" s="5" t="n"/>
      <c r="G19" s="5" t="n"/>
    </row>
    <row r="20" ht="26" customHeight="1">
      <c r="A20" s="4" t="inlineStr">
        <is>
          <t>효과·종결</t>
        </is>
      </c>
      <c r="B20" s="4" t="inlineStr">
        <is>
          <t>정한 시점·기준으로 재발 여부 확인</t>
        </is>
      </c>
      <c r="C20" s="5" t="n"/>
      <c r="D20" s="5" t="n"/>
      <c r="E20" s="5" t="n"/>
      <c r="F20" s="5" t="n"/>
      <c r="G20" s="5" t="n"/>
    </row>
    <row r="21" ht="26" customHeight="1">
      <c r="A21" s="5" t="n"/>
      <c r="B21" s="5" t="n"/>
      <c r="C21" s="5" t="n"/>
      <c r="D21" s="5" t="n"/>
      <c r="E21" s="5" t="n"/>
      <c r="F21" s="5" t="n"/>
      <c r="G21" s="5" t="n"/>
    </row>
    <row r="22" ht="26" customHeight="1">
      <c r="A22" s="5" t="n"/>
      <c r="B22" s="5" t="n"/>
      <c r="C22" s="5" t="n"/>
      <c r="D22" s="5" t="n"/>
      <c r="E22" s="5" t="n"/>
      <c r="F22" s="5" t="n"/>
      <c r="G22" s="5" t="n"/>
    </row>
    <row r="23" ht="6" customHeight="1"/>
    <row r="24" ht="16" customHeight="1">
      <c r="A24" s="7" t="inlineStr">
        <is>
          <t>첨부·대체 기록 번호와 보관 경로 / 적용 제외(해당없음) 사유 / 미결 확인 :</t>
        </is>
      </c>
      <c r="B24" s="13" t="n"/>
      <c r="C24" s="13" t="n"/>
      <c r="D24" s="8" t="inlineStr">
        <is>
          <t>구분</t>
        </is>
      </c>
      <c r="E24" s="8" t="inlineStr">
        <is>
          <t>작성</t>
        </is>
      </c>
      <c r="F24" s="8" t="inlineStr">
        <is>
          <t>검토</t>
        </is>
      </c>
      <c r="G24" s="8" t="inlineStr">
        <is>
          <t>승인</t>
        </is>
      </c>
    </row>
    <row r="25" ht="28" customHeight="1">
      <c r="A25" s="13" t="n"/>
      <c r="B25" s="13" t="n"/>
      <c r="C25" s="13" t="n"/>
      <c r="D25" s="9" t="inlineStr">
        <is>
          <t>성명·서명</t>
        </is>
      </c>
      <c r="E25" s="10" t="n"/>
      <c r="F25" s="10" t="n"/>
      <c r="G25" s="10" t="n"/>
    </row>
    <row r="26" ht="16" customHeight="1">
      <c r="A26" s="13" t="n"/>
      <c r="B26" s="13" t="n"/>
      <c r="C26" s="13" t="n"/>
      <c r="D26" s="9" t="inlineStr">
        <is>
          <t>일자</t>
        </is>
      </c>
      <c r="E26" s="10" t="n"/>
      <c r="F26" s="10" t="n"/>
      <c r="G26" s="10" t="n"/>
    </row>
  </sheetData>
  <mergeCells count="14">
    <mergeCell ref="A24:C26"/>
    <mergeCell ref="C8:D8"/>
    <mergeCell ref="A3:G3"/>
    <mergeCell ref="B5:C5"/>
    <mergeCell ref="E5:G5"/>
    <mergeCell ref="E8:G8"/>
    <mergeCell ref="A12:G12"/>
    <mergeCell ref="A2:G2"/>
    <mergeCell ref="F6:G6"/>
    <mergeCell ref="E9:G9"/>
    <mergeCell ref="C9:D9"/>
    <mergeCell ref="A11:G11"/>
    <mergeCell ref="B6:D6"/>
    <mergeCell ref="B7:G7"/>
  </mergeCells>
  <dataValidations count="1">
    <dataValidation sqref="E5" showDropDown="0" showInputMessage="0" showErrorMessage="0" allowBlank="1" error="목록에서 고르십시오: 품질(입고), 품질(공정), 품질(시험), 안전사건, 아차사고, 환경, 내부·외부 심사, 고객 클레임·AS" type="list" errorStyle="warning">
      <formula1>"품질(입고),품질(공정),품질(시험),안전사건,아차사고,환경,내부·외부 심사,고객 클레임·AS"</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DI-QF-09 Rev.00 | 페이지 &amp;P / 전체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A2:K24"/>
  <sheetViews>
    <sheetView showGridLines="0" workbookViewId="0">
      <pane ySplit="11" topLeftCell="A12" activePane="bottomLeft" state="frozen"/>
      <selection pane="bottomLeft" activeCell="A1" sqref="A1"/>
    </sheetView>
  </sheetViews>
  <sheetFormatPr baseColWidth="8" defaultRowHeight="15"/>
  <cols>
    <col width="17.2" customWidth="1" min="1" max="1"/>
    <col width="10.8" customWidth="1" min="2" max="2"/>
    <col width="17.2" customWidth="1" min="3" max="3"/>
    <col width="8.6" customWidth="1" min="4" max="4"/>
    <col width="8.6" customWidth="1" min="5" max="5"/>
    <col width="8.6" customWidth="1" min="6" max="6"/>
    <col width="8.6" customWidth="1" min="7" max="7"/>
    <col width="11.8" customWidth="1" min="8" max="8"/>
    <col width="11.8" customWidth="1" min="9" max="9"/>
    <col width="24.8" customWidth="1" min="10" max="10"/>
    <col width="11.8" customWidth="1" min="11" max="11"/>
  </cols>
  <sheetData>
    <row r="1" ht="22" customHeight="1"/>
    <row r="2" ht="28" customHeight="1">
      <c r="A2" s="1" t="inlineStr">
        <is>
          <t>공급자 및 외주 평가 승인</t>
        </is>
      </c>
      <c r="B2" s="1" t="n"/>
      <c r="C2" s="1" t="n"/>
      <c r="D2" s="1" t="n"/>
      <c r="E2" s="1" t="n"/>
      <c r="F2" s="1" t="n"/>
      <c r="G2" s="1" t="n"/>
      <c r="H2" s="1" t="n"/>
      <c r="I2" s="1" t="n"/>
      <c r="J2" s="1" t="n"/>
      <c r="K2" s="1" t="n"/>
    </row>
    <row r="3" ht="16" customHeight="1">
      <c r="A3" s="2" t="inlineStr">
        <is>
          <t>동인엔시스 | DI-QF-10 | Rev.00 | 제정 2026.10.01 | 시행 2026.10.01 (대표 승인)   ·   담당: 생산관리 / 품질 | 작성: 신규 발주 전·연 1회·중대한 문제 시</t>
        </is>
      </c>
      <c r="B3" s="2" t="n"/>
      <c r="C3" s="2" t="n"/>
      <c r="D3" s="2" t="n"/>
      <c r="E3" s="2" t="n"/>
      <c r="F3" s="2" t="n"/>
      <c r="G3" s="2" t="n"/>
      <c r="H3" s="2" t="n"/>
      <c r="I3" s="2" t="n"/>
      <c r="J3" s="2" t="n"/>
      <c r="K3" s="2" t="n"/>
    </row>
    <row r="4" ht="4" customHeight="1"/>
    <row r="5" ht="20" customHeight="1">
      <c r="A5" s="12" t="inlineStr">
        <is>
          <t>평가연도</t>
        </is>
      </c>
      <c r="B5" s="10" t="n"/>
      <c r="C5" s="10" t="n"/>
      <c r="D5" s="12" t="inlineStr">
        <is>
          <t>평가 기간</t>
        </is>
      </c>
      <c r="E5" s="10" t="n"/>
      <c r="F5" s="10" t="n"/>
      <c r="G5" s="10" t="n"/>
      <c r="H5" s="10" t="n"/>
      <c r="I5" s="12" t="inlineStr">
        <is>
          <t>평가자</t>
        </is>
      </c>
      <c r="J5" s="10" t="n"/>
      <c r="K5" s="10" t="n"/>
    </row>
    <row r="6" ht="20" customHeight="1">
      <c r="A6" s="12" t="inlineStr">
        <is>
          <t>승인자·일자</t>
        </is>
      </c>
      <c r="B6" s="10" t="n"/>
      <c r="C6" s="10" t="n"/>
      <c r="D6" s="10" t="n"/>
      <c r="E6" s="10" t="n"/>
      <c r="F6" s="10" t="n"/>
      <c r="G6" s="10" t="n"/>
      <c r="H6" s="10" t="n"/>
      <c r="I6" s="10" t="n"/>
      <c r="J6" s="10" t="n"/>
      <c r="K6" s="10" t="n"/>
    </row>
    <row r="7" ht="5" customHeight="1"/>
    <row r="8" ht="14.15" customHeight="1">
      <c r="A8" s="2" t="inlineStr">
        <is>
          <t>점수 1~3: 3=기간 중 문제 없음, 2=문제 후 합의기한 내 조치, 1=미해결/반복. 평균 2.5 이상 A, 2.0 이상 B(조건·기한부 승인), 2.0 미만 C(발주중지). 평균·등급은 자동 계산된다.</t>
        </is>
      </c>
      <c r="B8" s="2" t="n"/>
      <c r="C8" s="2" t="n"/>
      <c r="D8" s="2" t="n"/>
      <c r="E8" s="2" t="n"/>
      <c r="F8" s="2" t="n"/>
      <c r="G8" s="2" t="n"/>
      <c r="H8" s="2" t="n"/>
      <c r="I8" s="2" t="n"/>
      <c r="J8" s="2" t="n"/>
      <c r="K8" s="2" t="n"/>
    </row>
    <row r="9" ht="26.3" customHeight="1">
      <c r="A9" s="2" t="inlineStr">
        <is>
          <t>안전·법규가 '보류'이면 점수와 무관하게 보류한다. 외함·현장배선 외주는 SF-09 판정을 함께 적는다. 실적 없는 신규업체는 자료검토+초도검사 조건부 승인으로 근거란에 적는다. 연 1회와 중대한 문제 발생 시 재평가한다.</t>
        </is>
      </c>
      <c r="B9" s="2" t="n"/>
      <c r="C9" s="2" t="n"/>
      <c r="D9" s="2" t="n"/>
      <c r="E9" s="2" t="n"/>
      <c r="F9" s="2" t="n"/>
      <c r="G9" s="2" t="n"/>
      <c r="H9" s="2" t="n"/>
      <c r="I9" s="2" t="n"/>
      <c r="J9" s="2" t="n"/>
      <c r="K9" s="2" t="n"/>
    </row>
    <row r="10" ht="5" customHeight="1"/>
    <row r="11" ht="31.65" customHeight="1">
      <c r="A11" s="3" t="inlineStr">
        <is>
          <t>업체명</t>
        </is>
      </c>
      <c r="B11" s="3" t="inlineStr">
        <is>
          <t>구분</t>
        </is>
      </c>
      <c r="C11" s="3" t="inlineStr">
        <is>
          <t>공급 범위</t>
        </is>
      </c>
      <c r="D11" s="3" t="inlineStr">
        <is>
          <t>품질 (1~3)</t>
        </is>
      </c>
      <c r="E11" s="3" t="inlineStr">
        <is>
          <t>납기 (1~3)</t>
        </is>
      </c>
      <c r="F11" s="3" t="inlineStr">
        <is>
          <t>대응 (1~3)</t>
        </is>
      </c>
      <c r="G11" s="3" t="inlineStr">
        <is>
          <t>평균</t>
        </is>
      </c>
      <c r="H11" s="3" t="inlineStr">
        <is>
          <t>안전·법규 (SF-09)</t>
        </is>
      </c>
      <c r="I11" s="3" t="inlineStr">
        <is>
          <t>등급</t>
        </is>
      </c>
      <c r="J11" s="3" t="inlineStr">
        <is>
          <t>평가 근거·조건</t>
        </is>
      </c>
      <c r="K11" s="3" t="inlineStr">
        <is>
          <t>재평가일</t>
        </is>
      </c>
    </row>
    <row r="12" ht="24" customHeight="1">
      <c r="A12" s="5" t="n"/>
      <c r="B12" s="6" t="n"/>
      <c r="C12" s="5" t="n"/>
      <c r="D12" s="6" t="n"/>
      <c r="E12" s="6" t="n"/>
      <c r="F12" s="6" t="n"/>
      <c r="G12" s="11">
        <f>IF(COUNT(D12:F12)&lt;3,"",ROUND(AVERAGE(D12:F12),2))</f>
        <v/>
      </c>
      <c r="H12" s="6" t="n"/>
      <c r="I12" s="11">
        <f>IF(H12="보류","보류",IF(G12="","",IF(G12&gt;=2.5,"A",IF(G12&gt;=2,"B 조건부","C 발주중지"))))</f>
        <v/>
      </c>
      <c r="J12" s="5" t="n"/>
      <c r="K12" s="5" t="n"/>
    </row>
    <row r="13" ht="24" customHeight="1">
      <c r="A13" s="5" t="n"/>
      <c r="B13" s="6" t="n"/>
      <c r="C13" s="5" t="n"/>
      <c r="D13" s="6" t="n"/>
      <c r="E13" s="6" t="n"/>
      <c r="F13" s="6" t="n"/>
      <c r="G13" s="11">
        <f>IF(COUNT(D13:F13)&lt;3,"",ROUND(AVERAGE(D13:F13),2))</f>
        <v/>
      </c>
      <c r="H13" s="6" t="n"/>
      <c r="I13" s="11">
        <f>IF(H13="보류","보류",IF(G13="","",IF(G13&gt;=2.5,"A",IF(G13&gt;=2,"B 조건부","C 발주중지"))))</f>
        <v/>
      </c>
      <c r="J13" s="5" t="n"/>
      <c r="K13" s="5" t="n"/>
    </row>
    <row r="14" ht="24" customHeight="1">
      <c r="A14" s="5" t="n"/>
      <c r="B14" s="6" t="n"/>
      <c r="C14" s="5" t="n"/>
      <c r="D14" s="6" t="n"/>
      <c r="E14" s="6" t="n"/>
      <c r="F14" s="6" t="n"/>
      <c r="G14" s="11">
        <f>IF(COUNT(D14:F14)&lt;3,"",ROUND(AVERAGE(D14:F14),2))</f>
        <v/>
      </c>
      <c r="H14" s="6" t="n"/>
      <c r="I14" s="11">
        <f>IF(H14="보류","보류",IF(G14="","",IF(G14&gt;=2.5,"A",IF(G14&gt;=2,"B 조건부","C 발주중지"))))</f>
        <v/>
      </c>
      <c r="J14" s="5" t="n"/>
      <c r="K14" s="5" t="n"/>
    </row>
    <row r="15" ht="24" customHeight="1">
      <c r="A15" s="5" t="n"/>
      <c r="B15" s="6" t="n"/>
      <c r="C15" s="5" t="n"/>
      <c r="D15" s="6" t="n"/>
      <c r="E15" s="6" t="n"/>
      <c r="F15" s="6" t="n"/>
      <c r="G15" s="11">
        <f>IF(COUNT(D15:F15)&lt;3,"",ROUND(AVERAGE(D15:F15),2))</f>
        <v/>
      </c>
      <c r="H15" s="6" t="n"/>
      <c r="I15" s="11">
        <f>IF(H15="보류","보류",IF(G15="","",IF(G15&gt;=2.5,"A",IF(G15&gt;=2,"B 조건부","C 발주중지"))))</f>
        <v/>
      </c>
      <c r="J15" s="5" t="n"/>
      <c r="K15" s="5" t="n"/>
    </row>
    <row r="16" ht="24" customHeight="1">
      <c r="A16" s="5" t="n"/>
      <c r="B16" s="6" t="n"/>
      <c r="C16" s="5" t="n"/>
      <c r="D16" s="6" t="n"/>
      <c r="E16" s="6" t="n"/>
      <c r="F16" s="6" t="n"/>
      <c r="G16" s="11">
        <f>IF(COUNT(D16:F16)&lt;3,"",ROUND(AVERAGE(D16:F16),2))</f>
        <v/>
      </c>
      <c r="H16" s="6" t="n"/>
      <c r="I16" s="11">
        <f>IF(H16="보류","보류",IF(G16="","",IF(G16&gt;=2.5,"A",IF(G16&gt;=2,"B 조건부","C 발주중지"))))</f>
        <v/>
      </c>
      <c r="J16" s="5" t="n"/>
      <c r="K16" s="5" t="n"/>
    </row>
    <row r="17" ht="24" customHeight="1">
      <c r="A17" s="5" t="n"/>
      <c r="B17" s="6" t="n"/>
      <c r="C17" s="5" t="n"/>
      <c r="D17" s="6" t="n"/>
      <c r="E17" s="6" t="n"/>
      <c r="F17" s="6" t="n"/>
      <c r="G17" s="11">
        <f>IF(COUNT(D17:F17)&lt;3,"",ROUND(AVERAGE(D17:F17),2))</f>
        <v/>
      </c>
      <c r="H17" s="6" t="n"/>
      <c r="I17" s="11">
        <f>IF(H17="보류","보류",IF(G17="","",IF(G17&gt;=2.5,"A",IF(G17&gt;=2,"B 조건부","C 발주중지"))))</f>
        <v/>
      </c>
      <c r="J17" s="5" t="n"/>
      <c r="K17" s="5" t="n"/>
    </row>
    <row r="18" ht="24" customHeight="1">
      <c r="A18" s="5" t="n"/>
      <c r="B18" s="6" t="n"/>
      <c r="C18" s="5" t="n"/>
      <c r="D18" s="6" t="n"/>
      <c r="E18" s="6" t="n"/>
      <c r="F18" s="6" t="n"/>
      <c r="G18" s="11">
        <f>IF(COUNT(D18:F18)&lt;3,"",ROUND(AVERAGE(D18:F18),2))</f>
        <v/>
      </c>
      <c r="H18" s="6" t="n"/>
      <c r="I18" s="11">
        <f>IF(H18="보류","보류",IF(G18="","",IF(G18&gt;=2.5,"A",IF(G18&gt;=2,"B 조건부","C 발주중지"))))</f>
        <v/>
      </c>
      <c r="J18" s="5" t="n"/>
      <c r="K18" s="5" t="n"/>
    </row>
    <row r="19" ht="24" customHeight="1">
      <c r="A19" s="5" t="n"/>
      <c r="B19" s="6" t="n"/>
      <c r="C19" s="5" t="n"/>
      <c r="D19" s="6" t="n"/>
      <c r="E19" s="6" t="n"/>
      <c r="F19" s="6" t="n"/>
      <c r="G19" s="11">
        <f>IF(COUNT(D19:F19)&lt;3,"",ROUND(AVERAGE(D19:F19),2))</f>
        <v/>
      </c>
      <c r="H19" s="6" t="n"/>
      <c r="I19" s="11">
        <f>IF(H19="보류","보류",IF(G19="","",IF(G19&gt;=2.5,"A",IF(G19&gt;=2,"B 조건부","C 발주중지"))))</f>
        <v/>
      </c>
      <c r="J19" s="5" t="n"/>
      <c r="K19" s="5" t="n"/>
    </row>
    <row r="20" ht="24" customHeight="1">
      <c r="A20" s="5" t="n"/>
      <c r="B20" s="6" t="n"/>
      <c r="C20" s="5" t="n"/>
      <c r="D20" s="6" t="n"/>
      <c r="E20" s="6" t="n"/>
      <c r="F20" s="6" t="n"/>
      <c r="G20" s="11">
        <f>IF(COUNT(D20:F20)&lt;3,"",ROUND(AVERAGE(D20:F20),2))</f>
        <v/>
      </c>
      <c r="H20" s="6" t="n"/>
      <c r="I20" s="11">
        <f>IF(H20="보류","보류",IF(G20="","",IF(G20&gt;=2.5,"A",IF(G20&gt;=2,"B 조건부","C 발주중지"))))</f>
        <v/>
      </c>
      <c r="J20" s="5" t="n"/>
      <c r="K20" s="5" t="n"/>
    </row>
    <row r="21" ht="6" customHeight="1"/>
    <row r="22" ht="16" customHeight="1">
      <c r="A22" s="7" t="inlineStr">
        <is>
          <t>첨부·대체 기록 번호와 보관 경로 / 적용 제외(해당없음) 사유 / 미결 확인 :</t>
        </is>
      </c>
      <c r="B22" s="13" t="n"/>
      <c r="C22" s="13" t="n"/>
      <c r="D22" s="13" t="n"/>
      <c r="E22" s="13" t="n"/>
      <c r="F22" s="13" t="n"/>
      <c r="G22" s="13" t="n"/>
      <c r="H22" s="8" t="inlineStr">
        <is>
          <t>구분</t>
        </is>
      </c>
      <c r="I22" s="8" t="inlineStr">
        <is>
          <t>작성</t>
        </is>
      </c>
      <c r="J22" s="8" t="inlineStr">
        <is>
          <t>검토</t>
        </is>
      </c>
      <c r="K22" s="8" t="inlineStr">
        <is>
          <t>승인</t>
        </is>
      </c>
    </row>
    <row r="23" ht="28" customHeight="1">
      <c r="A23" s="13" t="n"/>
      <c r="B23" s="13" t="n"/>
      <c r="C23" s="13" t="n"/>
      <c r="D23" s="13" t="n"/>
      <c r="E23" s="13" t="n"/>
      <c r="F23" s="13" t="n"/>
      <c r="G23" s="13" t="n"/>
      <c r="H23" s="9" t="inlineStr">
        <is>
          <t>성명·서명</t>
        </is>
      </c>
      <c r="I23" s="10" t="n"/>
      <c r="J23" s="10" t="n"/>
      <c r="K23" s="10" t="n"/>
    </row>
    <row r="24" ht="16" customHeight="1">
      <c r="A24" s="13" t="n"/>
      <c r="B24" s="13" t="n"/>
      <c r="C24" s="13" t="n"/>
      <c r="D24" s="13" t="n"/>
      <c r="E24" s="13" t="n"/>
      <c r="F24" s="13" t="n"/>
      <c r="G24" s="13" t="n"/>
      <c r="H24" s="9" t="inlineStr">
        <is>
          <t>일자</t>
        </is>
      </c>
      <c r="I24" s="10" t="n"/>
      <c r="J24" s="10" t="n"/>
      <c r="K24" s="10" t="n"/>
    </row>
  </sheetData>
  <mergeCells count="9">
    <mergeCell ref="A22:G24"/>
    <mergeCell ref="A3:K3"/>
    <mergeCell ref="J5:K5"/>
    <mergeCell ref="B5:C5"/>
    <mergeCell ref="A2:K2"/>
    <mergeCell ref="B6:K6"/>
    <mergeCell ref="E5:H5"/>
    <mergeCell ref="A9:K9"/>
    <mergeCell ref="A8:K8"/>
  </mergeCells>
  <conditionalFormatting sqref="B12:B20">
    <cfRule type="expression" priority="1" dxfId="0">
      <formula>OR(B12="불합격",B12="보류",B12="부적합",B12="미흡",B12="미준수",B12="미확인",B12="실패",B12="사용금지",B12="중지·개선",B12="재교육·동행",B12="C 발주중지",B12="중요")</formula>
    </cfRule>
  </conditionalFormatting>
  <conditionalFormatting sqref="D12:D20">
    <cfRule type="expression" priority="2" dxfId="0">
      <formula>OR(D12="불합격",D12="보류",D12="부적합",D12="미흡",D12="미준수",D12="미확인",D12="실패",D12="사용금지",D12="중지·개선",D12="재교육·동행",D12="C 발주중지",D12="중요")</formula>
    </cfRule>
  </conditionalFormatting>
  <conditionalFormatting sqref="E12:E20">
    <cfRule type="expression" priority="3" dxfId="0">
      <formula>OR(E12="불합격",E12="보류",E12="부적합",E12="미흡",E12="미준수",E12="미확인",E12="실패",E12="사용금지",E12="중지·개선",E12="재교육·동행",E12="C 발주중지",E12="중요")</formula>
    </cfRule>
  </conditionalFormatting>
  <conditionalFormatting sqref="F12:F20">
    <cfRule type="expression" priority="4" dxfId="0">
      <formula>OR(F12="불합격",F12="보류",F12="부적합",F12="미흡",F12="미준수",F12="미확인",F12="실패",F12="사용금지",F12="중지·개선",F12="재교육·동행",F12="C 발주중지",F12="중요")</formula>
    </cfRule>
  </conditionalFormatting>
  <conditionalFormatting sqref="H12:H20">
    <cfRule type="expression" priority="5" dxfId="0">
      <formula>OR(H12="불합격",H12="보류",H12="부적합",H12="미흡",H12="미준수",H12="미확인",H12="실패",H12="사용금지",H12="중지·개선",H12="재교육·동행",H12="C 발주중지",H12="중요")</formula>
    </cfRule>
  </conditionalFormatting>
  <conditionalFormatting sqref="G12:G20">
    <cfRule type="expression" priority="6" dxfId="0">
      <formula>OR(G12="불합격",G12="보류",G12="부적합",G12="미흡",G12="미준수",G12="미확인",G12="실패",G12="사용금지",G12="중지·개선",G12="재교육·동행",G12="C 발주중지",G12="중요")</formula>
    </cfRule>
  </conditionalFormatting>
  <conditionalFormatting sqref="I12:I20">
    <cfRule type="expression" priority="7" dxfId="0">
      <formula>OR(I12="불합격",I12="보류",I12="부적합",I12="미흡",I12="미준수",I12="미확인",I12="실패",I12="사용금지",I12="중지·개선",I12="재교육·동행",I12="C 발주중지",I12="중요")</formula>
    </cfRule>
  </conditionalFormatting>
  <dataValidations count="5">
    <dataValidation sqref="B12:B20" showDropDown="0" showInputMessage="0" showErrorMessage="0" allowBlank="1" error="목록에서 고르십시오: 부품, 외함, 현장배선, 기타" type="list" errorStyle="warning">
      <formula1>"부품,외함,현장배선,기타"</formula1>
    </dataValidation>
    <dataValidation sqref="D12:D20" showDropDown="0" showInputMessage="0" showErrorMessage="0" allowBlank="1" error="1~3 사이 정수를 입력하십시오." type="whole" operator="between">
      <formula1>1</formula1>
      <formula2>3</formula2>
    </dataValidation>
    <dataValidation sqref="E12:E20" showDropDown="0" showInputMessage="0" showErrorMessage="0" allowBlank="1" error="1~3 사이 정수를 입력하십시오." type="whole" operator="between">
      <formula1>1</formula1>
      <formula2>3</formula2>
    </dataValidation>
    <dataValidation sqref="F12:F20" showDropDown="0" showInputMessage="0" showErrorMessage="0" allowBlank="1" error="1~3 사이 정수를 입력하십시오." type="whole" operator="between">
      <formula1>1</formula1>
      <formula2>3</formula2>
    </dataValidation>
    <dataValidation sqref="H12:H20" showDropDown="0" showInputMessage="0" showErrorMessage="0" allowBlank="1" error="목록에서 고르십시오: 적합, 조건부, 보류, 해당없음" type="list" errorStyle="warning">
      <formula1>"적합,조건부,보류,해당없음"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DI-QF-10 Rev.00 | 페이지 &amp;P / 전체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2:K46"/>
  <sheetViews>
    <sheetView showGridLines="0" workbookViewId="0">
      <pane ySplit="10" topLeftCell="A11" activePane="bottomLeft" state="frozen"/>
      <selection pane="bottomLeft" activeCell="A1" sqref="A1"/>
    </sheetView>
  </sheetViews>
  <sheetFormatPr baseColWidth="8" defaultRowHeight="15"/>
  <cols>
    <col width="11.6" customWidth="1" min="1" max="1"/>
    <col width="11.6" customWidth="1" min="2" max="2"/>
    <col width="18.9" customWidth="1" min="3" max="3"/>
    <col width="10.5" customWidth="1" min="4" max="4"/>
    <col width="16.8" customWidth="1" min="5" max="5"/>
    <col width="13.7" customWidth="1" min="6" max="6"/>
    <col width="11.6" customWidth="1" min="7" max="7"/>
    <col width="11.6" customWidth="1" min="8" max="8"/>
    <col width="9.5" customWidth="1" min="9" max="9"/>
    <col width="10.5" customWidth="1" min="10" max="10"/>
    <col width="13.7" customWidth="1" min="11" max="11"/>
  </cols>
  <sheetData>
    <row r="1" ht="22" customHeight="1"/>
    <row r="2" ht="28" customHeight="1">
      <c r="A2" s="1" t="inlineStr">
        <is>
          <t>계측기 및 제조 시험 설비 관리</t>
        </is>
      </c>
      <c r="B2" s="1" t="n"/>
      <c r="C2" s="1" t="n"/>
      <c r="D2" s="1" t="n"/>
      <c r="E2" s="1" t="n"/>
      <c r="F2" s="1" t="n"/>
      <c r="G2" s="1" t="n"/>
      <c r="H2" s="1" t="n"/>
      <c r="I2" s="1" t="n"/>
      <c r="J2" s="1" t="n"/>
      <c r="K2" s="1" t="n"/>
    </row>
    <row r="3" ht="16" customHeight="1">
      <c r="A3" s="2" t="inlineStr">
        <is>
          <t>동인엔시스 | DI-QF-11 | Rev.00 | 제정 2026.10.01 | 시행 2026.10.01 (대표 승인)   ·   담당: 품질 / 생산관리 | 작성: 등록·교정·사용 전·설비점검 시</t>
        </is>
      </c>
      <c r="B3" s="2" t="n"/>
      <c r="C3" s="2" t="n"/>
      <c r="D3" s="2" t="n"/>
      <c r="E3" s="2" t="n"/>
      <c r="F3" s="2" t="n"/>
      <c r="G3" s="2" t="n"/>
      <c r="H3" s="2" t="n"/>
      <c r="I3" s="2" t="n"/>
      <c r="J3" s="2" t="n"/>
      <c r="K3" s="2" t="n"/>
    </row>
    <row r="4" ht="4" customHeight="1"/>
    <row r="5" ht="28.3" customHeight="1">
      <c r="A5" s="12" t="inlineStr">
        <is>
          <t>관리연도</t>
        </is>
      </c>
      <c r="B5" s="10" t="n"/>
      <c r="C5" s="10" t="n"/>
      <c r="D5" s="10" t="n"/>
      <c r="E5" s="10" t="n"/>
      <c r="F5" s="12" t="inlineStr">
        <is>
          <t>관리 책임자 (계측기: 품질 / 설비: 생산관리)</t>
        </is>
      </c>
      <c r="G5" s="12" t="n"/>
      <c r="H5" s="10" t="n"/>
      <c r="I5" s="10" t="n"/>
      <c r="J5" s="10" t="n"/>
      <c r="K5" s="10" t="n"/>
    </row>
    <row r="6" ht="5" customHeight="1"/>
    <row r="7" ht="14.15" customHeight="1">
      <c r="A7" s="2" t="inlineStr">
        <is>
          <t>계측기는 허용오차·교정결과·사용범위를 확인한다. 교정은 12개월을 사내 초기 관리주기로 하되 제조사·사용빈도·이력·고객 요구로 품질이 승인한다. 설비점검은 제조사·법정주기를 우선한다.</t>
        </is>
      </c>
      <c r="B7" s="2" t="n"/>
      <c r="C7" s="2" t="n"/>
      <c r="D7" s="2" t="n"/>
      <c r="E7" s="2" t="n"/>
      <c r="F7" s="2" t="n"/>
      <c r="G7" s="2" t="n"/>
      <c r="H7" s="2" t="n"/>
      <c r="I7" s="2" t="n"/>
      <c r="J7" s="2" t="n"/>
      <c r="K7" s="2" t="n"/>
    </row>
    <row r="8" ht="26.3" customHeight="1">
      <c r="A8" s="2" t="inlineStr">
        <is>
          <t>기한초과·고장·허용오차 초과는 사용금지 표시하고, 영향받은 이전 시험제품을 추적·재검사하여 QF-09로 처리한다. 차기일이 지나면 빨간색, 30일 이내면 노란색으로 표시된다(날짜 형식으로 입력).</t>
        </is>
      </c>
      <c r="B8" s="2" t="n"/>
      <c r="C8" s="2" t="n"/>
      <c r="D8" s="2" t="n"/>
      <c r="E8" s="2" t="n"/>
      <c r="F8" s="2" t="n"/>
      <c r="G8" s="2" t="n"/>
      <c r="H8" s="2" t="n"/>
      <c r="I8" s="2" t="n"/>
      <c r="J8" s="2" t="n"/>
      <c r="K8" s="2" t="n"/>
    </row>
    <row r="9" ht="5" customHeight="1"/>
    <row r="10" ht="31.65" customHeight="1">
      <c r="A10" s="3" t="inlineStr">
        <is>
          <t>관리번호</t>
        </is>
      </c>
      <c r="B10" s="3" t="inlineStr">
        <is>
          <t>구분</t>
        </is>
      </c>
      <c r="C10" s="3" t="inlineStr">
        <is>
          <t>명칭·모델·SN</t>
        </is>
      </c>
      <c r="D10" s="3" t="inlineStr">
        <is>
          <t>위치</t>
        </is>
      </c>
      <c r="E10" s="3" t="inlineStr">
        <is>
          <t>사용범위·허용오차</t>
        </is>
      </c>
      <c r="F10" s="3" t="inlineStr">
        <is>
          <t>주기·근거</t>
        </is>
      </c>
      <c r="G10" s="3" t="inlineStr">
        <is>
          <t>최근 교정·점검일</t>
        </is>
      </c>
      <c r="H10" s="3" t="inlineStr">
        <is>
          <t>차기일</t>
        </is>
      </c>
      <c r="I10" s="3" t="inlineStr">
        <is>
          <t>결과</t>
        </is>
      </c>
      <c r="J10" s="3" t="inlineStr">
        <is>
          <t>상태</t>
        </is>
      </c>
      <c r="K10" s="3" t="inlineStr">
        <is>
          <t>성적서·점검증거</t>
        </is>
      </c>
    </row>
    <row r="11" ht="22" customHeight="1">
      <c r="A11" s="5" t="n"/>
      <c r="B11" s="6" t="n"/>
      <c r="C11" s="5" t="n"/>
      <c r="D11" s="5" t="n"/>
      <c r="E11" s="5" t="n"/>
      <c r="F11" s="5" t="n"/>
      <c r="G11" s="14" t="n"/>
      <c r="H11" s="14" t="n"/>
      <c r="I11" s="6" t="n"/>
      <c r="J11" s="6" t="n"/>
      <c r="K11" s="5" t="n"/>
    </row>
    <row r="12" ht="22" customHeight="1">
      <c r="A12" s="5" t="n"/>
      <c r="B12" s="6" t="n"/>
      <c r="C12" s="5" t="n"/>
      <c r="D12" s="5" t="n"/>
      <c r="E12" s="5" t="n"/>
      <c r="F12" s="5" t="n"/>
      <c r="G12" s="14" t="n"/>
      <c r="H12" s="14" t="n"/>
      <c r="I12" s="6" t="n"/>
      <c r="J12" s="6" t="n"/>
      <c r="K12" s="5" t="n"/>
    </row>
    <row r="13" ht="22" customHeight="1">
      <c r="A13" s="5" t="n"/>
      <c r="B13" s="6" t="n"/>
      <c r="C13" s="5" t="n"/>
      <c r="D13" s="5" t="n"/>
      <c r="E13" s="5" t="n"/>
      <c r="F13" s="5" t="n"/>
      <c r="G13" s="14" t="n"/>
      <c r="H13" s="14" t="n"/>
      <c r="I13" s="6" t="n"/>
      <c r="J13" s="6" t="n"/>
      <c r="K13" s="5" t="n"/>
    </row>
    <row r="14" ht="22" customHeight="1">
      <c r="A14" s="5" t="n"/>
      <c r="B14" s="6" t="n"/>
      <c r="C14" s="5" t="n"/>
      <c r="D14" s="5" t="n"/>
      <c r="E14" s="5" t="n"/>
      <c r="F14" s="5" t="n"/>
      <c r="G14" s="14" t="n"/>
      <c r="H14" s="14" t="n"/>
      <c r="I14" s="6" t="n"/>
      <c r="J14" s="6" t="n"/>
      <c r="K14" s="5" t="n"/>
    </row>
    <row r="15" ht="22" customHeight="1">
      <c r="A15" s="5" t="n"/>
      <c r="B15" s="6" t="n"/>
      <c r="C15" s="5" t="n"/>
      <c r="D15" s="5" t="n"/>
      <c r="E15" s="5" t="n"/>
      <c r="F15" s="5" t="n"/>
      <c r="G15" s="14" t="n"/>
      <c r="H15" s="14" t="n"/>
      <c r="I15" s="6" t="n"/>
      <c r="J15" s="6" t="n"/>
      <c r="K15" s="5" t="n"/>
    </row>
    <row r="16" ht="22" customHeight="1">
      <c r="A16" s="5" t="n"/>
      <c r="B16" s="6" t="n"/>
      <c r="C16" s="5" t="n"/>
      <c r="D16" s="5" t="n"/>
      <c r="E16" s="5" t="n"/>
      <c r="F16" s="5" t="n"/>
      <c r="G16" s="14" t="n"/>
      <c r="H16" s="14" t="n"/>
      <c r="I16" s="6" t="n"/>
      <c r="J16" s="6" t="n"/>
      <c r="K16" s="5" t="n"/>
    </row>
    <row r="17" ht="22" customHeight="1">
      <c r="A17" s="5" t="n"/>
      <c r="B17" s="6" t="n"/>
      <c r="C17" s="5" t="n"/>
      <c r="D17" s="5" t="n"/>
      <c r="E17" s="5" t="n"/>
      <c r="F17" s="5" t="n"/>
      <c r="G17" s="14" t="n"/>
      <c r="H17" s="14" t="n"/>
      <c r="I17" s="6" t="n"/>
      <c r="J17" s="6" t="n"/>
      <c r="K17" s="5" t="n"/>
    </row>
    <row r="18" ht="22" customHeight="1">
      <c r="A18" s="5" t="n"/>
      <c r="B18" s="6" t="n"/>
      <c r="C18" s="5" t="n"/>
      <c r="D18" s="5" t="n"/>
      <c r="E18" s="5" t="n"/>
      <c r="F18" s="5" t="n"/>
      <c r="G18" s="14" t="n"/>
      <c r="H18" s="14" t="n"/>
      <c r="I18" s="6" t="n"/>
      <c r="J18" s="6" t="n"/>
      <c r="K18" s="5" t="n"/>
    </row>
    <row r="19" ht="22" customHeight="1">
      <c r="A19" s="5" t="n"/>
      <c r="B19" s="6" t="n"/>
      <c r="C19" s="5" t="n"/>
      <c r="D19" s="5" t="n"/>
      <c r="E19" s="5" t="n"/>
      <c r="F19" s="5" t="n"/>
      <c r="G19" s="14" t="n"/>
      <c r="H19" s="14" t="n"/>
      <c r="I19" s="6" t="n"/>
      <c r="J19" s="6" t="n"/>
      <c r="K19" s="5" t="n"/>
    </row>
    <row r="20" ht="22" customHeight="1">
      <c r="A20" s="5" t="n"/>
      <c r="B20" s="6" t="n"/>
      <c r="C20" s="5" t="n"/>
      <c r="D20" s="5" t="n"/>
      <c r="E20" s="5" t="n"/>
      <c r="F20" s="5" t="n"/>
      <c r="G20" s="14" t="n"/>
      <c r="H20" s="14" t="n"/>
      <c r="I20" s="6" t="n"/>
      <c r="J20" s="6" t="n"/>
      <c r="K20" s="5" t="n"/>
    </row>
    <row r="21" ht="22" customHeight="1">
      <c r="A21" s="5" t="n"/>
      <c r="B21" s="6" t="n"/>
      <c r="C21" s="5" t="n"/>
      <c r="D21" s="5" t="n"/>
      <c r="E21" s="5" t="n"/>
      <c r="F21" s="5" t="n"/>
      <c r="G21" s="14" t="n"/>
      <c r="H21" s="14" t="n"/>
      <c r="I21" s="6" t="n"/>
      <c r="J21" s="6" t="n"/>
      <c r="K21" s="5" t="n"/>
    </row>
    <row r="22" ht="22" customHeight="1">
      <c r="A22" s="5" t="n"/>
      <c r="B22" s="6" t="n"/>
      <c r="C22" s="5" t="n"/>
      <c r="D22" s="5" t="n"/>
      <c r="E22" s="5" t="n"/>
      <c r="F22" s="5" t="n"/>
      <c r="G22" s="14" t="n"/>
      <c r="H22" s="14" t="n"/>
      <c r="I22" s="6" t="n"/>
      <c r="J22" s="6" t="n"/>
      <c r="K22" s="5" t="n"/>
    </row>
    <row r="23" ht="22" customHeight="1">
      <c r="A23" s="5" t="n"/>
      <c r="B23" s="6" t="n"/>
      <c r="C23" s="5" t="n"/>
      <c r="D23" s="5" t="n"/>
      <c r="E23" s="5" t="n"/>
      <c r="F23" s="5" t="n"/>
      <c r="G23" s="14" t="n"/>
      <c r="H23" s="14" t="n"/>
      <c r="I23" s="6" t="n"/>
      <c r="J23" s="6" t="n"/>
      <c r="K23" s="5" t="n"/>
    </row>
    <row r="24" ht="22" customHeight="1">
      <c r="A24" s="5" t="n"/>
      <c r="B24" s="6" t="n"/>
      <c r="C24" s="5" t="n"/>
      <c r="D24" s="5" t="n"/>
      <c r="E24" s="5" t="n"/>
      <c r="F24" s="5" t="n"/>
      <c r="G24" s="14" t="n"/>
      <c r="H24" s="14" t="n"/>
      <c r="I24" s="6" t="n"/>
      <c r="J24" s="6" t="n"/>
      <c r="K24" s="5" t="n"/>
    </row>
    <row r="25" ht="22" customHeight="1">
      <c r="A25" s="5" t="n"/>
      <c r="B25" s="6" t="n"/>
      <c r="C25" s="5" t="n"/>
      <c r="D25" s="5" t="n"/>
      <c r="E25" s="5" t="n"/>
      <c r="F25" s="5" t="n"/>
      <c r="G25" s="14" t="n"/>
      <c r="H25" s="14" t="n"/>
      <c r="I25" s="6" t="n"/>
      <c r="J25" s="6" t="n"/>
      <c r="K25" s="5" t="n"/>
    </row>
    <row r="26" ht="22" customHeight="1">
      <c r="A26" s="5" t="n"/>
      <c r="B26" s="6" t="n"/>
      <c r="C26" s="5" t="n"/>
      <c r="D26" s="5" t="n"/>
      <c r="E26" s="5" t="n"/>
      <c r="F26" s="5" t="n"/>
      <c r="G26" s="14" t="n"/>
      <c r="H26" s="14" t="n"/>
      <c r="I26" s="6" t="n"/>
      <c r="J26" s="6" t="n"/>
      <c r="K26" s="5" t="n"/>
    </row>
    <row r="27" ht="22" customHeight="1">
      <c r="A27" s="5" t="n"/>
      <c r="B27" s="6" t="n"/>
      <c r="C27" s="5" t="n"/>
      <c r="D27" s="5" t="n"/>
      <c r="E27" s="5" t="n"/>
      <c r="F27" s="5" t="n"/>
      <c r="G27" s="14" t="n"/>
      <c r="H27" s="14" t="n"/>
      <c r="I27" s="6" t="n"/>
      <c r="J27" s="6" t="n"/>
      <c r="K27" s="5" t="n"/>
    </row>
    <row r="28" ht="22" customHeight="1">
      <c r="A28" s="5" t="n"/>
      <c r="B28" s="6" t="n"/>
      <c r="C28" s="5" t="n"/>
      <c r="D28" s="5" t="n"/>
      <c r="E28" s="5" t="n"/>
      <c r="F28" s="5" t="n"/>
      <c r="G28" s="14" t="n"/>
      <c r="H28" s="14" t="n"/>
      <c r="I28" s="6" t="n"/>
      <c r="J28" s="6" t="n"/>
      <c r="K28" s="5" t="n"/>
    </row>
    <row r="29" ht="22" customHeight="1">
      <c r="A29" s="5" t="n"/>
      <c r="B29" s="6" t="n"/>
      <c r="C29" s="5" t="n"/>
      <c r="D29" s="5" t="n"/>
      <c r="E29" s="5" t="n"/>
      <c r="F29" s="5" t="n"/>
      <c r="G29" s="14" t="n"/>
      <c r="H29" s="14" t="n"/>
      <c r="I29" s="6" t="n"/>
      <c r="J29" s="6" t="n"/>
      <c r="K29" s="5" t="n"/>
    </row>
    <row r="30" ht="22" customHeight="1">
      <c r="A30" s="5" t="n"/>
      <c r="B30" s="6" t="n"/>
      <c r="C30" s="5" t="n"/>
      <c r="D30" s="5" t="n"/>
      <c r="E30" s="5" t="n"/>
      <c r="F30" s="5" t="n"/>
      <c r="G30" s="14" t="n"/>
      <c r="H30" s="14" t="n"/>
      <c r="I30" s="6" t="n"/>
      <c r="J30" s="6" t="n"/>
      <c r="K30" s="5" t="n"/>
    </row>
    <row r="31" ht="22" customHeight="1">
      <c r="A31" s="5" t="n"/>
      <c r="B31" s="6" t="n"/>
      <c r="C31" s="5" t="n"/>
      <c r="D31" s="5" t="n"/>
      <c r="E31" s="5" t="n"/>
      <c r="F31" s="5" t="n"/>
      <c r="G31" s="14" t="n"/>
      <c r="H31" s="14" t="n"/>
      <c r="I31" s="6" t="n"/>
      <c r="J31" s="6" t="n"/>
      <c r="K31" s="5" t="n"/>
    </row>
    <row r="32" ht="22" customHeight="1">
      <c r="A32" s="5" t="n"/>
      <c r="B32" s="6" t="n"/>
      <c r="C32" s="5" t="n"/>
      <c r="D32" s="5" t="n"/>
      <c r="E32" s="5" t="n"/>
      <c r="F32" s="5" t="n"/>
      <c r="G32" s="14" t="n"/>
      <c r="H32" s="14" t="n"/>
      <c r="I32" s="6" t="n"/>
      <c r="J32" s="6" t="n"/>
      <c r="K32" s="5" t="n"/>
    </row>
    <row r="33" ht="22" customHeight="1">
      <c r="A33" s="5" t="n"/>
      <c r="B33" s="6" t="n"/>
      <c r="C33" s="5" t="n"/>
      <c r="D33" s="5" t="n"/>
      <c r="E33" s="5" t="n"/>
      <c r="F33" s="5" t="n"/>
      <c r="G33" s="14" t="n"/>
      <c r="H33" s="14" t="n"/>
      <c r="I33" s="6" t="n"/>
      <c r="J33" s="6" t="n"/>
      <c r="K33" s="5" t="n"/>
    </row>
    <row r="34" ht="22" customHeight="1">
      <c r="A34" s="5" t="n"/>
      <c r="B34" s="6" t="n"/>
      <c r="C34" s="5" t="n"/>
      <c r="D34" s="5" t="n"/>
      <c r="E34" s="5" t="n"/>
      <c r="F34" s="5" t="n"/>
      <c r="G34" s="14" t="n"/>
      <c r="H34" s="14" t="n"/>
      <c r="I34" s="6" t="n"/>
      <c r="J34" s="6" t="n"/>
      <c r="K34" s="5" t="n"/>
    </row>
    <row r="35" ht="22" customHeight="1">
      <c r="A35" s="5" t="n"/>
      <c r="B35" s="6" t="n"/>
      <c r="C35" s="5" t="n"/>
      <c r="D35" s="5" t="n"/>
      <c r="E35" s="5" t="n"/>
      <c r="F35" s="5" t="n"/>
      <c r="G35" s="14" t="n"/>
      <c r="H35" s="14" t="n"/>
      <c r="I35" s="6" t="n"/>
      <c r="J35" s="6" t="n"/>
      <c r="K35" s="5" t="n"/>
    </row>
    <row r="36" ht="22" customHeight="1">
      <c r="A36" s="5" t="n"/>
      <c r="B36" s="6" t="n"/>
      <c r="C36" s="5" t="n"/>
      <c r="D36" s="5" t="n"/>
      <c r="E36" s="5" t="n"/>
      <c r="F36" s="5" t="n"/>
      <c r="G36" s="14" t="n"/>
      <c r="H36" s="14" t="n"/>
      <c r="I36" s="6" t="n"/>
      <c r="J36" s="6" t="n"/>
      <c r="K36" s="5" t="n"/>
    </row>
    <row r="37" ht="22" customHeight="1">
      <c r="A37" s="5" t="n"/>
      <c r="B37" s="6" t="n"/>
      <c r="C37" s="5" t="n"/>
      <c r="D37" s="5" t="n"/>
      <c r="E37" s="5" t="n"/>
      <c r="F37" s="5" t="n"/>
      <c r="G37" s="14" t="n"/>
      <c r="H37" s="14" t="n"/>
      <c r="I37" s="6" t="n"/>
      <c r="J37" s="6" t="n"/>
      <c r="K37" s="5" t="n"/>
    </row>
    <row r="38" ht="22" customHeight="1">
      <c r="A38" s="5" t="n"/>
      <c r="B38" s="6" t="n"/>
      <c r="C38" s="5" t="n"/>
      <c r="D38" s="5" t="n"/>
      <c r="E38" s="5" t="n"/>
      <c r="F38" s="5" t="n"/>
      <c r="G38" s="14" t="n"/>
      <c r="H38" s="14" t="n"/>
      <c r="I38" s="6" t="n"/>
      <c r="J38" s="6" t="n"/>
      <c r="K38" s="5" t="n"/>
    </row>
    <row r="39" ht="22" customHeight="1">
      <c r="A39" s="5" t="n"/>
      <c r="B39" s="6" t="n"/>
      <c r="C39" s="5" t="n"/>
      <c r="D39" s="5" t="n"/>
      <c r="E39" s="5" t="n"/>
      <c r="F39" s="5" t="n"/>
      <c r="G39" s="14" t="n"/>
      <c r="H39" s="14" t="n"/>
      <c r="I39" s="6" t="n"/>
      <c r="J39" s="6" t="n"/>
      <c r="K39" s="5" t="n"/>
    </row>
    <row r="40" ht="22" customHeight="1">
      <c r="A40" s="5" t="n"/>
      <c r="B40" s="6" t="n"/>
      <c r="C40" s="5" t="n"/>
      <c r="D40" s="5" t="n"/>
      <c r="E40" s="5" t="n"/>
      <c r="F40" s="5" t="n"/>
      <c r="G40" s="14" t="n"/>
      <c r="H40" s="14" t="n"/>
      <c r="I40" s="6" t="n"/>
      <c r="J40" s="6" t="n"/>
      <c r="K40" s="5" t="n"/>
    </row>
    <row r="41" ht="22" customHeight="1">
      <c r="A41" s="5" t="n"/>
      <c r="B41" s="6" t="n"/>
      <c r="C41" s="5" t="n"/>
      <c r="D41" s="5" t="n"/>
      <c r="E41" s="5" t="n"/>
      <c r="F41" s="5" t="n"/>
      <c r="G41" s="14" t="n"/>
      <c r="H41" s="14" t="n"/>
      <c r="I41" s="6" t="n"/>
      <c r="J41" s="6" t="n"/>
      <c r="K41" s="5" t="n"/>
    </row>
    <row r="42" ht="22" customHeight="1">
      <c r="A42" s="5" t="n"/>
      <c r="B42" s="6" t="n"/>
      <c r="C42" s="5" t="n"/>
      <c r="D42" s="5" t="n"/>
      <c r="E42" s="5" t="n"/>
      <c r="F42" s="5" t="n"/>
      <c r="G42" s="14" t="n"/>
      <c r="H42" s="14" t="n"/>
      <c r="I42" s="6" t="n"/>
      <c r="J42" s="6" t="n"/>
      <c r="K42" s="5" t="n"/>
    </row>
    <row r="43" ht="6" customHeight="1"/>
    <row r="44" ht="16" customHeight="1">
      <c r="A44" s="7" t="inlineStr">
        <is>
          <t>첨부·대체 기록 번호와 보관 경로 / 적용 제외(해당없음) 사유 / 미결 확인 :</t>
        </is>
      </c>
      <c r="B44" s="13" t="n"/>
      <c r="C44" s="13" t="n"/>
      <c r="D44" s="13" t="n"/>
      <c r="E44" s="13" t="n"/>
      <c r="F44" s="13" t="n"/>
      <c r="G44" s="8" t="inlineStr">
        <is>
          <t>구분</t>
        </is>
      </c>
      <c r="H44" s="8" t="inlineStr">
        <is>
          <t>작성</t>
        </is>
      </c>
      <c r="I44" s="8" t="n"/>
      <c r="J44" s="8" t="inlineStr">
        <is>
          <t>검토</t>
        </is>
      </c>
      <c r="K44" s="8" t="inlineStr">
        <is>
          <t>승인</t>
        </is>
      </c>
    </row>
    <row r="45" ht="28" customHeight="1">
      <c r="A45" s="13" t="n"/>
      <c r="B45" s="13" t="n"/>
      <c r="C45" s="13" t="n"/>
      <c r="D45" s="13" t="n"/>
      <c r="E45" s="13" t="n"/>
      <c r="F45" s="13" t="n"/>
      <c r="G45" s="9" t="inlineStr">
        <is>
          <t>성명·서명</t>
        </is>
      </c>
      <c r="H45" s="10" t="n"/>
      <c r="I45" s="10" t="n"/>
      <c r="J45" s="10" t="n"/>
      <c r="K45" s="10" t="n"/>
    </row>
    <row r="46" ht="16" customHeight="1">
      <c r="A46" s="13" t="n"/>
      <c r="B46" s="13" t="n"/>
      <c r="C46" s="13" t="n"/>
      <c r="D46" s="13" t="n"/>
      <c r="E46" s="13" t="n"/>
      <c r="F46" s="13" t="n"/>
      <c r="G46" s="9" t="inlineStr">
        <is>
          <t>일자</t>
        </is>
      </c>
      <c r="H46" s="10" t="n"/>
      <c r="I46" s="10" t="n"/>
      <c r="J46" s="10" t="n"/>
      <c r="K46" s="10" t="n"/>
    </row>
  </sheetData>
  <mergeCells count="11">
    <mergeCell ref="A3:K3"/>
    <mergeCell ref="H46:I46"/>
    <mergeCell ref="H45:I45"/>
    <mergeCell ref="A7:K7"/>
    <mergeCell ref="F5:G5"/>
    <mergeCell ref="A2:K2"/>
    <mergeCell ref="A44:F46"/>
    <mergeCell ref="B5:E5"/>
    <mergeCell ref="H44:I44"/>
    <mergeCell ref="H5:K5"/>
    <mergeCell ref="A8:K8"/>
  </mergeCells>
  <conditionalFormatting sqref="B11:B42">
    <cfRule type="expression" priority="1" dxfId="0">
      <formula>OR(B11="불합격",B11="보류",B11="부적합",B11="미흡",B11="미준수",B11="미확인",B11="실패",B11="사용금지",B11="중지·개선",B11="재교육·동행",B11="C 발주중지",B11="중요")</formula>
    </cfRule>
  </conditionalFormatting>
  <conditionalFormatting sqref="I11:I42">
    <cfRule type="expression" priority="2" dxfId="0">
      <formula>OR(I11="불합격",I11="보류",I11="부적합",I11="미흡",I11="미준수",I11="미확인",I11="실패",I11="사용금지",I11="중지·개선",I11="재교육·동행",I11="C 발주중지",I11="중요")</formula>
    </cfRule>
  </conditionalFormatting>
  <conditionalFormatting sqref="J11:J42">
    <cfRule type="expression" priority="3" dxfId="0">
      <formula>OR(J11="불합격",J11="보류",J11="부적합",J11="미흡",J11="미준수",J11="미확인",J11="실패",J11="사용금지",J11="중지·개선",J11="재교육·동행",J11="C 발주중지",J11="중요")</formula>
    </cfRule>
  </conditionalFormatting>
  <conditionalFormatting sqref="H11:H42">
    <cfRule type="expression" priority="4" dxfId="0">
      <formula>AND(ISNUMBER(H11),H11&lt;TODAY())</formula>
    </cfRule>
    <cfRule type="expression" priority="5" dxfId="1">
      <formula>AND(ISNUMBER(H11),H11&lt;TODAY()+30)</formula>
    </cfRule>
  </conditionalFormatting>
  <dataValidations count="3">
    <dataValidation sqref="B11:B42" showDropDown="0" showInputMessage="0" showErrorMessage="0" allowBlank="1" error="목록에서 고르십시오: 계측기, 시험설비, 토크렌치·공구, 하역장비, 기타" type="list" errorStyle="warning">
      <formula1>"계측기,시험설비,토크렌치·공구,하역장비,기타"</formula1>
    </dataValidation>
    <dataValidation sqref="I11:I42" showDropDown="0" showInputMessage="0" showErrorMessage="0" allowBlank="1" error="목록에서 고르십시오: 합격, 불합격" type="list" errorStyle="warning">
      <formula1>"합격,불합격"</formula1>
    </dataValidation>
    <dataValidation sqref="J11:J42" showDropDown="0" showInputMessage="0" showErrorMessage="0" allowBlank="1" error="목록에서 고르십시오: 사용, 사용금지, 수리중, 폐기" type="list" errorStyle="warning">
      <formula1>"사용,사용금지,수리중,폐기"</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DI-QF-11 Rev.00 | 페이지 &amp;P / 전체 &amp;N</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outlinePr summaryBelow="1" summaryRight="1"/>
    <pageSetUpPr fitToPage="1"/>
  </sheetPr>
  <dimension ref="A2:K44"/>
  <sheetViews>
    <sheetView showGridLines="0" workbookViewId="0">
      <pane ySplit="12" topLeftCell="A13" activePane="bottomLeft" state="frozen"/>
      <selection pane="bottomLeft" activeCell="A1" sqref="A1"/>
    </sheetView>
  </sheetViews>
  <sheetFormatPr baseColWidth="8" defaultRowHeight="15"/>
  <cols>
    <col width="11.8" customWidth="1" min="1" max="1"/>
    <col width="10.7" customWidth="1" min="2" max="2"/>
    <col width="16" customWidth="1" min="3" max="3"/>
    <col width="11.8" customWidth="1" min="4" max="4"/>
    <col width="10.7" customWidth="1" min="5" max="5"/>
    <col width="10.7" customWidth="1" min="6" max="6"/>
    <col width="10.7" customWidth="1" min="7" max="7"/>
    <col width="12.8" customWidth="1" min="8" max="8"/>
    <col width="20.3" customWidth="1" min="9" max="9"/>
    <col width="13.9" customWidth="1" min="10" max="10"/>
    <col width="10.7" customWidth="1" min="11" max="11"/>
  </cols>
  <sheetData>
    <row r="1" ht="22" customHeight="1"/>
    <row r="2" ht="28" customHeight="1">
      <c r="A2" s="1" t="inlineStr">
        <is>
          <t>교육 역량 평가 및 작업 검사 자격</t>
        </is>
      </c>
      <c r="B2" s="1" t="n"/>
      <c r="C2" s="1" t="n"/>
      <c r="D2" s="1" t="n"/>
      <c r="E2" s="1" t="n"/>
      <c r="F2" s="1" t="n"/>
      <c r="G2" s="1" t="n"/>
      <c r="H2" s="1" t="n"/>
      <c r="I2" s="1" t="n"/>
      <c r="J2" s="1" t="n"/>
      <c r="K2" s="1" t="n"/>
    </row>
    <row r="3" ht="16" customHeight="1">
      <c r="A3" s="2" t="inlineStr">
        <is>
          <t>동인엔시스 | DI-QF-12 | Rev.00 | 제정 2026.10.01 | 시행 2026.10.01 (대표 승인)   ·   담당: 부서 책임자 / 안전 담당·품질 | 작성: 배치 전·변경 시·교육 실시 시</t>
        </is>
      </c>
      <c r="B3" s="2" t="n"/>
      <c r="C3" s="2" t="n"/>
      <c r="D3" s="2" t="n"/>
      <c r="E3" s="2" t="n"/>
      <c r="F3" s="2" t="n"/>
      <c r="G3" s="2" t="n"/>
      <c r="H3" s="2" t="n"/>
      <c r="I3" s="2" t="n"/>
      <c r="J3" s="2" t="n"/>
      <c r="K3" s="2" t="n"/>
    </row>
    <row r="4" ht="4" customHeight="1"/>
    <row r="5" ht="20" customHeight="1">
      <c r="A5" s="12" t="inlineStr">
        <is>
          <t>교육/평가명</t>
        </is>
      </c>
      <c r="B5" s="10" t="n"/>
      <c r="C5" s="10" t="n"/>
      <c r="D5" s="12" t="inlineStr">
        <is>
          <t>구분</t>
        </is>
      </c>
      <c r="E5" s="10" t="n"/>
      <c r="F5" s="10" t="n"/>
      <c r="G5" s="10" t="n"/>
      <c r="H5" s="12" t="inlineStr">
        <is>
          <t>일자·시간</t>
        </is>
      </c>
      <c r="I5" s="10" t="n"/>
      <c r="J5" s="10" t="n"/>
      <c r="K5" s="10" t="n"/>
    </row>
    <row r="6" ht="20" customHeight="1">
      <c r="A6" s="12" t="inlineStr">
        <is>
          <t>장소</t>
        </is>
      </c>
      <c r="B6" s="10" t="n"/>
      <c r="C6" s="10" t="n"/>
      <c r="D6" s="10" t="n"/>
      <c r="E6" s="12" t="inlineStr">
        <is>
          <t>강사·평가자</t>
        </is>
      </c>
      <c r="F6" s="10" t="n"/>
      <c r="G6" s="10" t="n"/>
      <c r="H6" s="10" t="n"/>
      <c r="I6" s="12" t="inlineStr">
        <is>
          <t>법정 교육 근거·이수조건</t>
        </is>
      </c>
      <c r="J6" s="10" t="n"/>
      <c r="K6" s="10" t="n"/>
    </row>
    <row r="7" ht="20" customHeight="1">
      <c r="A7" s="12" t="inlineStr">
        <is>
          <t>교육 내용 요약</t>
        </is>
      </c>
      <c r="B7" s="10" t="n"/>
      <c r="C7" s="10" t="n"/>
      <c r="D7" s="10" t="n"/>
      <c r="E7" s="10" t="n"/>
      <c r="F7" s="10" t="n"/>
      <c r="G7" s="10" t="n"/>
      <c r="H7" s="10" t="n"/>
      <c r="I7" s="10" t="n"/>
      <c r="J7" s="10" t="n"/>
      <c r="K7" s="10" t="n"/>
    </row>
    <row r="8" ht="5" customHeight="1"/>
    <row r="9" ht="14.15" customHeight="1">
      <c r="A9" s="2" t="inlineStr">
        <is>
          <t>자격평가: 안전수칙 설명 + 승인도면 해독 + 작업/검사 시연이 모두 적합해야 독립작업을 승인한다. 미달자는 재교육·숙련자 동행 작업만 허용하고 재평가한다(종합란 자동 표시).</t>
        </is>
      </c>
      <c r="B9" s="2" t="n"/>
      <c r="C9" s="2" t="n"/>
      <c r="D9" s="2" t="n"/>
      <c r="E9" s="2" t="n"/>
      <c r="F9" s="2" t="n"/>
      <c r="G9" s="2" t="n"/>
      <c r="H9" s="2" t="n"/>
      <c r="I9" s="2" t="n"/>
      <c r="J9" s="2" t="n"/>
      <c r="K9" s="2" t="n"/>
    </row>
    <row r="10" ht="14.15" customHeight="1">
      <c r="A10" s="2" t="inlineStr">
        <is>
          <t>FAT·SAT 검사원, 배선 숙련 확인자, 비정규직 작업자도 업무범위를 정한다. 법정교육 이수와 기술역량 승인은 각각 증거를 남긴다. 교육만 한 경우 평가 3칸은 비워 둔다.</t>
        </is>
      </c>
      <c r="B10" s="2" t="n"/>
      <c r="C10" s="2" t="n"/>
      <c r="D10" s="2" t="n"/>
      <c r="E10" s="2" t="n"/>
      <c r="F10" s="2" t="n"/>
      <c r="G10" s="2" t="n"/>
      <c r="H10" s="2" t="n"/>
      <c r="I10" s="2" t="n"/>
      <c r="J10" s="2" t="n"/>
      <c r="K10" s="2" t="n"/>
    </row>
    <row r="11" ht="5" customHeight="1"/>
    <row r="12" ht="31.65" customHeight="1">
      <c r="A12" s="3" t="inlineStr">
        <is>
          <t>성명</t>
        </is>
      </c>
      <c r="B12" s="3" t="inlineStr">
        <is>
          <t>고용구분</t>
        </is>
      </c>
      <c r="C12" s="3" t="inlineStr">
        <is>
          <t>담당업무</t>
        </is>
      </c>
      <c r="D12" s="3" t="inlineStr">
        <is>
          <t>참석 서명</t>
        </is>
      </c>
      <c r="E12" s="3" t="inlineStr">
        <is>
          <t>안전수칙 설명</t>
        </is>
      </c>
      <c r="F12" s="3" t="inlineStr">
        <is>
          <t>도면 해독</t>
        </is>
      </c>
      <c r="G12" s="3" t="inlineStr">
        <is>
          <t>작업·검사 시연</t>
        </is>
      </c>
      <c r="H12" s="3" t="inlineStr">
        <is>
          <t>종합</t>
        </is>
      </c>
      <c r="I12" s="3" t="inlineStr">
        <is>
          <t>승인 업무범위·제한</t>
        </is>
      </c>
      <c r="J12" s="3" t="inlineStr">
        <is>
          <t>승인자·일자</t>
        </is>
      </c>
      <c r="K12" s="3" t="inlineStr">
        <is>
          <t>재평가일</t>
        </is>
      </c>
    </row>
    <row r="13" ht="24" customHeight="1">
      <c r="A13" s="5" t="n"/>
      <c r="B13" s="6" t="n"/>
      <c r="C13" s="5" t="n"/>
      <c r="D13" s="5" t="n"/>
      <c r="E13" s="6" t="n"/>
      <c r="F13" s="6" t="n"/>
      <c r="G13" s="6" t="n"/>
      <c r="H13" s="11">
        <f>IF(COUNTA(E13:G13)=0,"",IF(COUNTIF(E13:G13,"미흡")&gt;0,"재교육·동행",IF(COUNTIF(E13:G13,"적합")=3,"독립작업 가능","평가 미완")))</f>
        <v/>
      </c>
      <c r="I13" s="5" t="n"/>
      <c r="J13" s="5" t="n"/>
      <c r="K13" s="5" t="n"/>
    </row>
    <row r="14" ht="24" customHeight="1">
      <c r="A14" s="5" t="n"/>
      <c r="B14" s="6" t="n"/>
      <c r="C14" s="5" t="n"/>
      <c r="D14" s="5" t="n"/>
      <c r="E14" s="6" t="n"/>
      <c r="F14" s="6" t="n"/>
      <c r="G14" s="6" t="n"/>
      <c r="H14" s="11">
        <f>IF(COUNTA(E14:G14)=0,"",IF(COUNTIF(E14:G14,"미흡")&gt;0,"재교육·동행",IF(COUNTIF(E14:G14,"적합")=3,"독립작업 가능","평가 미완")))</f>
        <v/>
      </c>
      <c r="I14" s="5" t="n"/>
      <c r="J14" s="5" t="n"/>
      <c r="K14" s="5" t="n"/>
    </row>
    <row r="15" ht="24" customHeight="1">
      <c r="A15" s="5" t="n"/>
      <c r="B15" s="6" t="n"/>
      <c r="C15" s="5" t="n"/>
      <c r="D15" s="5" t="n"/>
      <c r="E15" s="6" t="n"/>
      <c r="F15" s="6" t="n"/>
      <c r="G15" s="6" t="n"/>
      <c r="H15" s="11">
        <f>IF(COUNTA(E15:G15)=0,"",IF(COUNTIF(E15:G15,"미흡")&gt;0,"재교육·동행",IF(COUNTIF(E15:G15,"적합")=3,"독립작업 가능","평가 미완")))</f>
        <v/>
      </c>
      <c r="I15" s="5" t="n"/>
      <c r="J15" s="5" t="n"/>
      <c r="K15" s="5" t="n"/>
    </row>
    <row r="16" ht="24" customHeight="1">
      <c r="A16" s="5" t="n"/>
      <c r="B16" s="6" t="n"/>
      <c r="C16" s="5" t="n"/>
      <c r="D16" s="5" t="n"/>
      <c r="E16" s="6" t="n"/>
      <c r="F16" s="6" t="n"/>
      <c r="G16" s="6" t="n"/>
      <c r="H16" s="11">
        <f>IF(COUNTA(E16:G16)=0,"",IF(COUNTIF(E16:G16,"미흡")&gt;0,"재교육·동행",IF(COUNTIF(E16:G16,"적합")=3,"독립작업 가능","평가 미완")))</f>
        <v/>
      </c>
      <c r="I16" s="5" t="n"/>
      <c r="J16" s="5" t="n"/>
      <c r="K16" s="5" t="n"/>
    </row>
    <row r="17" ht="24" customHeight="1">
      <c r="A17" s="5" t="n"/>
      <c r="B17" s="6" t="n"/>
      <c r="C17" s="5" t="n"/>
      <c r="D17" s="5" t="n"/>
      <c r="E17" s="6" t="n"/>
      <c r="F17" s="6" t="n"/>
      <c r="G17" s="6" t="n"/>
      <c r="H17" s="11">
        <f>IF(COUNTA(E17:G17)=0,"",IF(COUNTIF(E17:G17,"미흡")&gt;0,"재교육·동행",IF(COUNTIF(E17:G17,"적합")=3,"독립작업 가능","평가 미완")))</f>
        <v/>
      </c>
      <c r="I17" s="5" t="n"/>
      <c r="J17" s="5" t="n"/>
      <c r="K17" s="5" t="n"/>
    </row>
    <row r="18" ht="24" customHeight="1">
      <c r="A18" s="5" t="n"/>
      <c r="B18" s="6" t="n"/>
      <c r="C18" s="5" t="n"/>
      <c r="D18" s="5" t="n"/>
      <c r="E18" s="6" t="n"/>
      <c r="F18" s="6" t="n"/>
      <c r="G18" s="6" t="n"/>
      <c r="H18" s="11">
        <f>IF(COUNTA(E18:G18)=0,"",IF(COUNTIF(E18:G18,"미흡")&gt;0,"재교육·동행",IF(COUNTIF(E18:G18,"적합")=3,"독립작업 가능","평가 미완")))</f>
        <v/>
      </c>
      <c r="I18" s="5" t="n"/>
      <c r="J18" s="5" t="n"/>
      <c r="K18" s="5" t="n"/>
    </row>
    <row r="19" ht="24" customHeight="1">
      <c r="A19" s="5" t="n"/>
      <c r="B19" s="6" t="n"/>
      <c r="C19" s="5" t="n"/>
      <c r="D19" s="5" t="n"/>
      <c r="E19" s="6" t="n"/>
      <c r="F19" s="6" t="n"/>
      <c r="G19" s="6" t="n"/>
      <c r="H19" s="11">
        <f>IF(COUNTA(E19:G19)=0,"",IF(COUNTIF(E19:G19,"미흡")&gt;0,"재교육·동행",IF(COUNTIF(E19:G19,"적합")=3,"독립작업 가능","평가 미완")))</f>
        <v/>
      </c>
      <c r="I19" s="5" t="n"/>
      <c r="J19" s="5" t="n"/>
      <c r="K19" s="5" t="n"/>
    </row>
    <row r="20" ht="24" customHeight="1">
      <c r="A20" s="5" t="n"/>
      <c r="B20" s="6" t="n"/>
      <c r="C20" s="5" t="n"/>
      <c r="D20" s="5" t="n"/>
      <c r="E20" s="6" t="n"/>
      <c r="F20" s="6" t="n"/>
      <c r="G20" s="6" t="n"/>
      <c r="H20" s="11">
        <f>IF(COUNTA(E20:G20)=0,"",IF(COUNTIF(E20:G20,"미흡")&gt;0,"재교육·동행",IF(COUNTIF(E20:G20,"적합")=3,"독립작업 가능","평가 미완")))</f>
        <v/>
      </c>
      <c r="I20" s="5" t="n"/>
      <c r="J20" s="5" t="n"/>
      <c r="K20" s="5" t="n"/>
    </row>
    <row r="21" ht="24" customHeight="1">
      <c r="A21" s="5" t="n"/>
      <c r="B21" s="6" t="n"/>
      <c r="C21" s="5" t="n"/>
      <c r="D21" s="5" t="n"/>
      <c r="E21" s="6" t="n"/>
      <c r="F21" s="6" t="n"/>
      <c r="G21" s="6" t="n"/>
      <c r="H21" s="11">
        <f>IF(COUNTA(E21:G21)=0,"",IF(COUNTIF(E21:G21,"미흡")&gt;0,"재교육·동행",IF(COUNTIF(E21:G21,"적합")=3,"독립작업 가능","평가 미완")))</f>
        <v/>
      </c>
      <c r="I21" s="5" t="n"/>
      <c r="J21" s="5" t="n"/>
      <c r="K21" s="5" t="n"/>
    </row>
    <row r="22" ht="24" customHeight="1">
      <c r="A22" s="5" t="n"/>
      <c r="B22" s="6" t="n"/>
      <c r="C22" s="5" t="n"/>
      <c r="D22" s="5" t="n"/>
      <c r="E22" s="6" t="n"/>
      <c r="F22" s="6" t="n"/>
      <c r="G22" s="6" t="n"/>
      <c r="H22" s="11">
        <f>IF(COUNTA(E22:G22)=0,"",IF(COUNTIF(E22:G22,"미흡")&gt;0,"재교육·동행",IF(COUNTIF(E22:G22,"적합")=3,"독립작업 가능","평가 미완")))</f>
        <v/>
      </c>
      <c r="I22" s="5" t="n"/>
      <c r="J22" s="5" t="n"/>
      <c r="K22" s="5" t="n"/>
    </row>
    <row r="23" ht="24" customHeight="1">
      <c r="A23" s="5" t="n"/>
      <c r="B23" s="6" t="n"/>
      <c r="C23" s="5" t="n"/>
      <c r="D23" s="5" t="n"/>
      <c r="E23" s="6" t="n"/>
      <c r="F23" s="6" t="n"/>
      <c r="G23" s="6" t="n"/>
      <c r="H23" s="11">
        <f>IF(COUNTA(E23:G23)=0,"",IF(COUNTIF(E23:G23,"미흡")&gt;0,"재교육·동행",IF(COUNTIF(E23:G23,"적합")=3,"독립작업 가능","평가 미완")))</f>
        <v/>
      </c>
      <c r="I23" s="5" t="n"/>
      <c r="J23" s="5" t="n"/>
      <c r="K23" s="5" t="n"/>
    </row>
    <row r="24" ht="24" customHeight="1">
      <c r="A24" s="5" t="n"/>
      <c r="B24" s="6" t="n"/>
      <c r="C24" s="5" t="n"/>
      <c r="D24" s="5" t="n"/>
      <c r="E24" s="6" t="n"/>
      <c r="F24" s="6" t="n"/>
      <c r="G24" s="6" t="n"/>
      <c r="H24" s="11">
        <f>IF(COUNTA(E24:G24)=0,"",IF(COUNTIF(E24:G24,"미흡")&gt;0,"재교육·동행",IF(COUNTIF(E24:G24,"적합")=3,"독립작업 가능","평가 미완")))</f>
        <v/>
      </c>
      <c r="I24" s="5" t="n"/>
      <c r="J24" s="5" t="n"/>
      <c r="K24" s="5" t="n"/>
    </row>
    <row r="25" ht="24" customHeight="1">
      <c r="A25" s="5" t="n"/>
      <c r="B25" s="6" t="n"/>
      <c r="C25" s="5" t="n"/>
      <c r="D25" s="5" t="n"/>
      <c r="E25" s="6" t="n"/>
      <c r="F25" s="6" t="n"/>
      <c r="G25" s="6" t="n"/>
      <c r="H25" s="11">
        <f>IF(COUNTA(E25:G25)=0,"",IF(COUNTIF(E25:G25,"미흡")&gt;0,"재교육·동행",IF(COUNTIF(E25:G25,"적합")=3,"독립작업 가능","평가 미완")))</f>
        <v/>
      </c>
      <c r="I25" s="5" t="n"/>
      <c r="J25" s="5" t="n"/>
      <c r="K25" s="5" t="n"/>
    </row>
    <row r="26" ht="24" customHeight="1">
      <c r="A26" s="5" t="n"/>
      <c r="B26" s="6" t="n"/>
      <c r="C26" s="5" t="n"/>
      <c r="D26" s="5" t="n"/>
      <c r="E26" s="6" t="n"/>
      <c r="F26" s="6" t="n"/>
      <c r="G26" s="6" t="n"/>
      <c r="H26" s="11">
        <f>IF(COUNTA(E26:G26)=0,"",IF(COUNTIF(E26:G26,"미흡")&gt;0,"재교육·동행",IF(COUNTIF(E26:G26,"적합")=3,"독립작업 가능","평가 미완")))</f>
        <v/>
      </c>
      <c r="I26" s="5" t="n"/>
      <c r="J26" s="5" t="n"/>
      <c r="K26" s="5" t="n"/>
    </row>
    <row r="27" ht="24" customHeight="1">
      <c r="A27" s="5" t="n"/>
      <c r="B27" s="6" t="n"/>
      <c r="C27" s="5" t="n"/>
      <c r="D27" s="5" t="n"/>
      <c r="E27" s="6" t="n"/>
      <c r="F27" s="6" t="n"/>
      <c r="G27" s="6" t="n"/>
      <c r="H27" s="11">
        <f>IF(COUNTA(E27:G27)=0,"",IF(COUNTIF(E27:G27,"미흡")&gt;0,"재교육·동행",IF(COUNTIF(E27:G27,"적합")=3,"독립작업 가능","평가 미완")))</f>
        <v/>
      </c>
      <c r="I27" s="5" t="n"/>
      <c r="J27" s="5" t="n"/>
      <c r="K27" s="5" t="n"/>
    </row>
    <row r="28" ht="24" customHeight="1">
      <c r="A28" s="5" t="n"/>
      <c r="B28" s="6" t="n"/>
      <c r="C28" s="5" t="n"/>
      <c r="D28" s="5" t="n"/>
      <c r="E28" s="6" t="n"/>
      <c r="F28" s="6" t="n"/>
      <c r="G28" s="6" t="n"/>
      <c r="H28" s="11">
        <f>IF(COUNTA(E28:G28)=0,"",IF(COUNTIF(E28:G28,"미흡")&gt;0,"재교육·동행",IF(COUNTIF(E28:G28,"적합")=3,"독립작업 가능","평가 미완")))</f>
        <v/>
      </c>
      <c r="I28" s="5" t="n"/>
      <c r="J28" s="5" t="n"/>
      <c r="K28" s="5" t="n"/>
    </row>
    <row r="29" ht="24" customHeight="1">
      <c r="A29" s="5" t="n"/>
      <c r="B29" s="6" t="n"/>
      <c r="C29" s="5" t="n"/>
      <c r="D29" s="5" t="n"/>
      <c r="E29" s="6" t="n"/>
      <c r="F29" s="6" t="n"/>
      <c r="G29" s="6" t="n"/>
      <c r="H29" s="11">
        <f>IF(COUNTA(E29:G29)=0,"",IF(COUNTIF(E29:G29,"미흡")&gt;0,"재교육·동행",IF(COUNTIF(E29:G29,"적합")=3,"독립작업 가능","평가 미완")))</f>
        <v/>
      </c>
      <c r="I29" s="5" t="n"/>
      <c r="J29" s="5" t="n"/>
      <c r="K29" s="5" t="n"/>
    </row>
    <row r="30" ht="24" customHeight="1">
      <c r="A30" s="5" t="n"/>
      <c r="B30" s="6" t="n"/>
      <c r="C30" s="5" t="n"/>
      <c r="D30" s="5" t="n"/>
      <c r="E30" s="6" t="n"/>
      <c r="F30" s="6" t="n"/>
      <c r="G30" s="6" t="n"/>
      <c r="H30" s="11">
        <f>IF(COUNTA(E30:G30)=0,"",IF(COUNTIF(E30:G30,"미흡")&gt;0,"재교육·동행",IF(COUNTIF(E30:G30,"적합")=3,"독립작업 가능","평가 미완")))</f>
        <v/>
      </c>
      <c r="I30" s="5" t="n"/>
      <c r="J30" s="5" t="n"/>
      <c r="K30" s="5" t="n"/>
    </row>
    <row r="31" ht="24" customHeight="1">
      <c r="A31" s="5" t="n"/>
      <c r="B31" s="6" t="n"/>
      <c r="C31" s="5" t="n"/>
      <c r="D31" s="5" t="n"/>
      <c r="E31" s="6" t="n"/>
      <c r="F31" s="6" t="n"/>
      <c r="G31" s="6" t="n"/>
      <c r="H31" s="11">
        <f>IF(COUNTA(E31:G31)=0,"",IF(COUNTIF(E31:G31,"미흡")&gt;0,"재교육·동행",IF(COUNTIF(E31:G31,"적합")=3,"독립작업 가능","평가 미완")))</f>
        <v/>
      </c>
      <c r="I31" s="5" t="n"/>
      <c r="J31" s="5" t="n"/>
      <c r="K31" s="5" t="n"/>
    </row>
    <row r="32" ht="24" customHeight="1">
      <c r="A32" s="5" t="n"/>
      <c r="B32" s="6" t="n"/>
      <c r="C32" s="5" t="n"/>
      <c r="D32" s="5" t="n"/>
      <c r="E32" s="6" t="n"/>
      <c r="F32" s="6" t="n"/>
      <c r="G32" s="6" t="n"/>
      <c r="H32" s="11">
        <f>IF(COUNTA(E32:G32)=0,"",IF(COUNTIF(E32:G32,"미흡")&gt;0,"재교육·동행",IF(COUNTIF(E32:G32,"적합")=3,"독립작업 가능","평가 미완")))</f>
        <v/>
      </c>
      <c r="I32" s="5" t="n"/>
      <c r="J32" s="5" t="n"/>
      <c r="K32" s="5" t="n"/>
    </row>
    <row r="33" ht="24" customHeight="1">
      <c r="A33" s="5" t="n"/>
      <c r="B33" s="6" t="n"/>
      <c r="C33" s="5" t="n"/>
      <c r="D33" s="5" t="n"/>
      <c r="E33" s="6" t="n"/>
      <c r="F33" s="6" t="n"/>
      <c r="G33" s="6" t="n"/>
      <c r="H33" s="11">
        <f>IF(COUNTA(E33:G33)=0,"",IF(COUNTIF(E33:G33,"미흡")&gt;0,"재교육·동행",IF(COUNTIF(E33:G33,"적합")=3,"독립작업 가능","평가 미완")))</f>
        <v/>
      </c>
      <c r="I33" s="5" t="n"/>
      <c r="J33" s="5" t="n"/>
      <c r="K33" s="5" t="n"/>
    </row>
    <row r="34" ht="24" customHeight="1">
      <c r="A34" s="5" t="n"/>
      <c r="B34" s="6" t="n"/>
      <c r="C34" s="5" t="n"/>
      <c r="D34" s="5" t="n"/>
      <c r="E34" s="6" t="n"/>
      <c r="F34" s="6" t="n"/>
      <c r="G34" s="6" t="n"/>
      <c r="H34" s="11">
        <f>IF(COUNTA(E34:G34)=0,"",IF(COUNTIF(E34:G34,"미흡")&gt;0,"재교육·동행",IF(COUNTIF(E34:G34,"적합")=3,"독립작업 가능","평가 미완")))</f>
        <v/>
      </c>
      <c r="I34" s="5" t="n"/>
      <c r="J34" s="5" t="n"/>
      <c r="K34" s="5" t="n"/>
    </row>
    <row r="35" ht="24" customHeight="1">
      <c r="A35" s="5" t="n"/>
      <c r="B35" s="6" t="n"/>
      <c r="C35" s="5" t="n"/>
      <c r="D35" s="5" t="n"/>
      <c r="E35" s="6" t="n"/>
      <c r="F35" s="6" t="n"/>
      <c r="G35" s="6" t="n"/>
      <c r="H35" s="11">
        <f>IF(COUNTA(E35:G35)=0,"",IF(COUNTIF(E35:G35,"미흡")&gt;0,"재교육·동행",IF(COUNTIF(E35:G35,"적합")=3,"독립작업 가능","평가 미완")))</f>
        <v/>
      </c>
      <c r="I35" s="5" t="n"/>
      <c r="J35" s="5" t="n"/>
      <c r="K35" s="5" t="n"/>
    </row>
    <row r="36" ht="24" customHeight="1">
      <c r="A36" s="5" t="n"/>
      <c r="B36" s="6" t="n"/>
      <c r="C36" s="5" t="n"/>
      <c r="D36" s="5" t="n"/>
      <c r="E36" s="6" t="n"/>
      <c r="F36" s="6" t="n"/>
      <c r="G36" s="6" t="n"/>
      <c r="H36" s="11">
        <f>IF(COUNTA(E36:G36)=0,"",IF(COUNTIF(E36:G36,"미흡")&gt;0,"재교육·동행",IF(COUNTIF(E36:G36,"적합")=3,"독립작업 가능","평가 미완")))</f>
        <v/>
      </c>
      <c r="I36" s="5" t="n"/>
      <c r="J36" s="5" t="n"/>
      <c r="K36" s="5" t="n"/>
    </row>
    <row r="37" ht="24" customHeight="1">
      <c r="A37" s="5" t="n"/>
      <c r="B37" s="6" t="n"/>
      <c r="C37" s="5" t="n"/>
      <c r="D37" s="5" t="n"/>
      <c r="E37" s="6" t="n"/>
      <c r="F37" s="6" t="n"/>
      <c r="G37" s="6" t="n"/>
      <c r="H37" s="11">
        <f>IF(COUNTA(E37:G37)=0,"",IF(COUNTIF(E37:G37,"미흡")&gt;0,"재교육·동행",IF(COUNTIF(E37:G37,"적합")=3,"독립작업 가능","평가 미완")))</f>
        <v/>
      </c>
      <c r="I37" s="5" t="n"/>
      <c r="J37" s="5" t="n"/>
      <c r="K37" s="5" t="n"/>
    </row>
    <row r="38" ht="24" customHeight="1">
      <c r="A38" s="5" t="n"/>
      <c r="B38" s="6" t="n"/>
      <c r="C38" s="5" t="n"/>
      <c r="D38" s="5" t="n"/>
      <c r="E38" s="6" t="n"/>
      <c r="F38" s="6" t="n"/>
      <c r="G38" s="6" t="n"/>
      <c r="H38" s="11">
        <f>IF(COUNTA(E38:G38)=0,"",IF(COUNTIF(E38:G38,"미흡")&gt;0,"재교육·동행",IF(COUNTIF(E38:G38,"적합")=3,"독립작업 가능","평가 미완")))</f>
        <v/>
      </c>
      <c r="I38" s="5" t="n"/>
      <c r="J38" s="5" t="n"/>
      <c r="K38" s="5" t="n"/>
    </row>
    <row r="39" ht="24" customHeight="1">
      <c r="A39" s="5" t="n"/>
      <c r="B39" s="6" t="n"/>
      <c r="C39" s="5" t="n"/>
      <c r="D39" s="5" t="n"/>
      <c r="E39" s="6" t="n"/>
      <c r="F39" s="6" t="n"/>
      <c r="G39" s="6" t="n"/>
      <c r="H39" s="11">
        <f>IF(COUNTA(E39:G39)=0,"",IF(COUNTIF(E39:G39,"미흡")&gt;0,"재교육·동행",IF(COUNTIF(E39:G39,"적합")=3,"독립작업 가능","평가 미완")))</f>
        <v/>
      </c>
      <c r="I39" s="5" t="n"/>
      <c r="J39" s="5" t="n"/>
      <c r="K39" s="5" t="n"/>
    </row>
    <row r="40" ht="24" customHeight="1">
      <c r="A40" s="5" t="n"/>
      <c r="B40" s="6" t="n"/>
      <c r="C40" s="5" t="n"/>
      <c r="D40" s="5" t="n"/>
      <c r="E40" s="6" t="n"/>
      <c r="F40" s="6" t="n"/>
      <c r="G40" s="6" t="n"/>
      <c r="H40" s="11">
        <f>IF(COUNTA(E40:G40)=0,"",IF(COUNTIF(E40:G40,"미흡")&gt;0,"재교육·동행",IF(COUNTIF(E40:G40,"적합")=3,"독립작업 가능","평가 미완")))</f>
        <v/>
      </c>
      <c r="I40" s="5" t="n"/>
      <c r="J40" s="5" t="n"/>
      <c r="K40" s="5" t="n"/>
    </row>
    <row r="41" ht="6" customHeight="1"/>
    <row r="42" ht="16" customHeight="1">
      <c r="A42" s="7" t="inlineStr">
        <is>
          <t>첨부·대체 기록 번호와 보관 경로 / 적용 제외(해당없음) 사유 / 미결 확인 :</t>
        </is>
      </c>
      <c r="B42" s="13" t="n"/>
      <c r="C42" s="13" t="n"/>
      <c r="D42" s="13" t="n"/>
      <c r="E42" s="13" t="n"/>
      <c r="F42" s="13" t="n"/>
      <c r="G42" s="13" t="n"/>
      <c r="H42" s="8" t="inlineStr">
        <is>
          <t>구분</t>
        </is>
      </c>
      <c r="I42" s="8" t="inlineStr">
        <is>
          <t>작성</t>
        </is>
      </c>
      <c r="J42" s="8" t="inlineStr">
        <is>
          <t>검토</t>
        </is>
      </c>
      <c r="K42" s="8" t="inlineStr">
        <is>
          <t>승인</t>
        </is>
      </c>
    </row>
    <row r="43" ht="28" customHeight="1">
      <c r="A43" s="13" t="n"/>
      <c r="B43" s="13" t="n"/>
      <c r="C43" s="13" t="n"/>
      <c r="D43" s="13" t="n"/>
      <c r="E43" s="13" t="n"/>
      <c r="F43" s="13" t="n"/>
      <c r="G43" s="13" t="n"/>
      <c r="H43" s="9" t="inlineStr">
        <is>
          <t>성명·서명</t>
        </is>
      </c>
      <c r="I43" s="10" t="n"/>
      <c r="J43" s="10" t="n"/>
      <c r="K43" s="10" t="n"/>
    </row>
    <row r="44" ht="16" customHeight="1">
      <c r="A44" s="13" t="n"/>
      <c r="B44" s="13" t="n"/>
      <c r="C44" s="13" t="n"/>
      <c r="D44" s="13" t="n"/>
      <c r="E44" s="13" t="n"/>
      <c r="F44" s="13" t="n"/>
      <c r="G44" s="13" t="n"/>
      <c r="H44" s="9" t="inlineStr">
        <is>
          <t>일자</t>
        </is>
      </c>
      <c r="I44" s="10" t="n"/>
      <c r="J44" s="10" t="n"/>
      <c r="K44" s="10" t="n"/>
    </row>
  </sheetData>
  <mergeCells count="12">
    <mergeCell ref="F6:H6"/>
    <mergeCell ref="A3:K3"/>
    <mergeCell ref="J6:K6"/>
    <mergeCell ref="E5:G5"/>
    <mergeCell ref="B5:C5"/>
    <mergeCell ref="I5:K5"/>
    <mergeCell ref="A2:K2"/>
    <mergeCell ref="B7:K7"/>
    <mergeCell ref="A10:K10"/>
    <mergeCell ref="B6:D6"/>
    <mergeCell ref="A42:G44"/>
    <mergeCell ref="A9:K9"/>
  </mergeCells>
  <conditionalFormatting sqref="B13:B40">
    <cfRule type="expression" priority="1" dxfId="0">
      <formula>OR(B13="불합격",B13="보류",B13="부적합",B13="미흡",B13="미준수",B13="미확인",B13="실패",B13="사용금지",B13="중지·개선",B13="재교육·동행",B13="C 발주중지",B13="중요")</formula>
    </cfRule>
  </conditionalFormatting>
  <conditionalFormatting sqref="E13:E40">
    <cfRule type="expression" priority="2" dxfId="0">
      <formula>OR(E13="불합격",E13="보류",E13="부적합",E13="미흡",E13="미준수",E13="미확인",E13="실패",E13="사용금지",E13="중지·개선",E13="재교육·동행",E13="C 발주중지",E13="중요")</formula>
    </cfRule>
  </conditionalFormatting>
  <conditionalFormatting sqref="F13:F40">
    <cfRule type="expression" priority="3" dxfId="0">
      <formula>OR(F13="불합격",F13="보류",F13="부적합",F13="미흡",F13="미준수",F13="미확인",F13="실패",F13="사용금지",F13="중지·개선",F13="재교육·동행",F13="C 발주중지",F13="중요")</formula>
    </cfRule>
  </conditionalFormatting>
  <conditionalFormatting sqref="G13:G40">
    <cfRule type="expression" priority="4" dxfId="0">
      <formula>OR(G13="불합격",G13="보류",G13="부적합",G13="미흡",G13="미준수",G13="미확인",G13="실패",G13="사용금지",G13="중지·개선",G13="재교육·동행",G13="C 발주중지",G13="중요")</formula>
    </cfRule>
  </conditionalFormatting>
  <conditionalFormatting sqref="H13:H40">
    <cfRule type="expression" priority="5" dxfId="0">
      <formula>OR(H13="불합격",H13="보류",H13="부적합",H13="미흡",H13="미준수",H13="미확인",H13="실패",H13="사용금지",H13="중지·개선",H13="재교육·동행",H13="C 발주중지",H13="중요")</formula>
    </cfRule>
  </conditionalFormatting>
  <dataValidations count="5">
    <dataValidation sqref="E5" showDropDown="0" showInputMessage="0" showErrorMessage="0" allowBlank="1" error="목록에서 고르십시오: 교육, 자격평가, 교육+자격평가" type="list" errorStyle="warning">
      <formula1>"교육,자격평가,교육+자격평가"</formula1>
    </dataValidation>
    <dataValidation sqref="B13:B40" showDropDown="0" showInputMessage="0" showErrorMessage="0" allowBlank="1" error="목록에서 고르십시오: 정규직, 기간제, 일용직, 외주" type="list" errorStyle="warning">
      <formula1>"정규직,기간제,일용직,외주"</formula1>
    </dataValidation>
    <dataValidation sqref="E13:E40" showDropDown="0" showInputMessage="0" showErrorMessage="0" allowBlank="1" error="목록에서 고르십시오: 적합, 미흡" type="list" errorStyle="warning">
      <formula1>"적합,미흡"</formula1>
    </dataValidation>
    <dataValidation sqref="F13:F40" showDropDown="0" showInputMessage="0" showErrorMessage="0" allowBlank="1" error="목록에서 고르십시오: 적합, 미흡" type="list" errorStyle="warning">
      <formula1>"적합,미흡"</formula1>
    </dataValidation>
    <dataValidation sqref="G13:G40" showDropDown="0" showInputMessage="0" showErrorMessage="0" allowBlank="1" error="목록에서 고르십시오: 적합, 미흡" type="list" errorStyle="warning">
      <formula1>"적합,미흡"</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DI-QF-12 Rev.00 | 페이지 &amp;P / 전체 &amp;N</oddFooter>
    <evenHeader/>
    <evenFooter/>
    <firstHeader/>
    <firstFooter/>
  </headerFooter>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2:I46"/>
  <sheetViews>
    <sheetView showGridLines="0" workbookViewId="0">
      <pane ySplit="13" topLeftCell="A14" activePane="bottomLeft" state="frozen"/>
      <selection pane="bottomLeft" activeCell="A1" sqref="A1"/>
    </sheetView>
  </sheetViews>
  <sheetFormatPr baseColWidth="8" defaultRowHeight="15"/>
  <cols>
    <col width="14.7" customWidth="1" min="1" max="1"/>
    <col width="23.2" customWidth="1" min="2" max="2"/>
    <col width="7.4" customWidth="1" min="3" max="3"/>
    <col width="15.8" customWidth="1" min="4" max="4"/>
    <col width="11.6" customWidth="1" min="5" max="5"/>
    <col width="16.8" customWidth="1" min="6" max="6"/>
    <col width="23.2" customWidth="1" min="7" max="7"/>
    <col width="14.7" customWidth="1" min="8" max="8"/>
    <col width="12.6" customWidth="1" min="9" max="9"/>
  </cols>
  <sheetData>
    <row r="1" ht="22" customHeight="1"/>
    <row r="2" ht="28" customHeight="1">
      <c r="A2" s="1" t="inlineStr">
        <is>
          <t>문서 기록 저장 및 백업 관리</t>
        </is>
      </c>
      <c r="B2" s="1" t="n"/>
      <c r="C2" s="1" t="n"/>
      <c r="D2" s="1" t="n"/>
      <c r="E2" s="1" t="n"/>
      <c r="F2" s="1" t="n"/>
      <c r="G2" s="1" t="n"/>
      <c r="H2" s="1" t="n"/>
      <c r="I2" s="1" t="n"/>
    </row>
    <row r="3" ht="16" customHeight="1">
      <c r="A3" s="2" t="inlineStr">
        <is>
          <t>동인엔시스 | DI-QF-13 | Rev.00 | 제정 2026.10.01 | 시행 2026.10.01 (대표 승인)   ·   담당: 품질 / 경영관리 | 작성: 개정·배포·보관경로 변경 시</t>
        </is>
      </c>
      <c r="B3" s="2" t="n"/>
      <c r="C3" s="2" t="n"/>
      <c r="D3" s="2" t="n"/>
      <c r="E3" s="2" t="n"/>
      <c r="F3" s="2" t="n"/>
      <c r="G3" s="2" t="n"/>
      <c r="H3" s="2" t="n"/>
      <c r="I3" s="2" t="n"/>
    </row>
    <row r="4" ht="4" customHeight="1"/>
    <row r="5" ht="20" customHeight="1">
      <c r="A5" s="12" t="inlineStr">
        <is>
          <t>문서관리 책임자</t>
        </is>
      </c>
      <c r="B5" s="10" t="n"/>
      <c r="C5" s="10" t="n"/>
      <c r="D5" s="10" t="n"/>
      <c r="E5" s="10" t="n"/>
      <c r="F5" s="12" t="inlineStr">
        <is>
          <t>접근권한 관리자</t>
        </is>
      </c>
      <c r="G5" s="10" t="n"/>
      <c r="H5" s="10" t="n"/>
      <c r="I5" s="10" t="n"/>
    </row>
    <row r="6" ht="20" customHeight="1">
      <c r="A6" s="12" t="inlineStr">
        <is>
          <t>공용 저장소 전체 경로</t>
        </is>
      </c>
      <c r="B6" s="12" t="n"/>
      <c r="C6" s="10" t="n"/>
      <c r="D6" s="10" t="n"/>
      <c r="E6" s="10" t="n"/>
      <c r="F6" s="10" t="n"/>
      <c r="G6" s="10" t="n"/>
      <c r="H6" s="10" t="n"/>
      <c r="I6" s="10" t="n"/>
    </row>
    <row r="7" ht="20" customHeight="1">
      <c r="A7" s="12" t="inlineStr">
        <is>
          <t>별도 백업 경로·매체</t>
        </is>
      </c>
      <c r="B7" s="12" t="n"/>
      <c r="C7" s="10" t="n"/>
      <c r="D7" s="10" t="n"/>
      <c r="E7" s="10" t="n"/>
      <c r="F7" s="12" t="inlineStr">
        <is>
          <t>백업 담당·주기</t>
        </is>
      </c>
      <c r="G7" s="10" t="n"/>
      <c r="H7" s="10" t="n"/>
      <c r="I7" s="10" t="n"/>
    </row>
    <row r="8" ht="5" customHeight="1"/>
    <row r="9" ht="14.15" customHeight="1">
      <c r="A9" s="2" t="inlineStr">
        <is>
          <t>승인본은 읽기 전용, 작업본은 작성자 변경 가능. 구본은 이력 폴더로 옮기고 제작현장 배포본은 회수한다. 메일·ERP·카카오워크 증거는 검색 가능한 원본/내보내기로 연결한다.</t>
        </is>
      </c>
      <c r="B9" s="2" t="n"/>
      <c r="C9" s="2" t="n"/>
      <c r="D9" s="2" t="n"/>
      <c r="E9" s="2" t="n"/>
      <c r="F9" s="2" t="n"/>
      <c r="G9" s="2" t="n"/>
      <c r="H9" s="2" t="n"/>
      <c r="I9" s="2" t="n"/>
    </row>
    <row r="10" ht="14.15" customHeight="1">
      <c r="A10" s="2" t="inlineStr">
        <is>
          <t>분기 표본 복구와 백업 실패 조치는 QF-13-2에 기록한다.</t>
        </is>
      </c>
      <c r="B10" s="2" t="n"/>
      <c r="C10" s="2" t="n"/>
      <c r="D10" s="2" t="n"/>
      <c r="E10" s="2" t="n"/>
      <c r="F10" s="2" t="n"/>
      <c r="G10" s="2" t="n"/>
      <c r="H10" s="2" t="n"/>
      <c r="I10" s="2" t="n"/>
    </row>
    <row r="11" ht="14.15" customHeight="1">
      <c r="A11" s="2" t="inlineStr">
        <is>
          <t>외부 문서(고객 사양서·적용 규격·제조사 자료)는 받은 판본을 확인해 프로젝트 02_설계기준에 두고, 회사 공통으로 쓰는 외부 문서만 아래에 판본을 등록한다.</t>
        </is>
      </c>
      <c r="B11" s="2" t="n"/>
      <c r="C11" s="2" t="n"/>
      <c r="D11" s="2" t="n"/>
      <c r="E11" s="2" t="n"/>
      <c r="F11" s="2" t="n"/>
      <c r="G11" s="2" t="n"/>
      <c r="H11" s="2" t="n"/>
      <c r="I11" s="2" t="n"/>
    </row>
    <row r="12" ht="5" customHeight="1"/>
    <row r="13" ht="26" customHeight="1">
      <c r="A13" s="3" t="inlineStr">
        <is>
          <t>문서·기록번호</t>
        </is>
      </c>
      <c r="B13" s="3" t="inlineStr">
        <is>
          <t>명칭·종류</t>
        </is>
      </c>
      <c r="C13" s="3" t="inlineStr">
        <is>
          <t>Rev</t>
        </is>
      </c>
      <c r="D13" s="3" t="inlineStr">
        <is>
          <t>승인자·승인일</t>
        </is>
      </c>
      <c r="E13" s="3" t="inlineStr">
        <is>
          <t>시행일</t>
        </is>
      </c>
      <c r="F13" s="3" t="inlineStr">
        <is>
          <t>배포처·회수</t>
        </is>
      </c>
      <c r="G13" s="3" t="inlineStr">
        <is>
          <t>보관 경로</t>
        </is>
      </c>
      <c r="H13" s="3" t="inlineStr">
        <is>
          <t>보존 기산·기간</t>
        </is>
      </c>
      <c r="I13" s="3" t="inlineStr">
        <is>
          <t>비고</t>
        </is>
      </c>
    </row>
    <row r="14" ht="22" customHeight="1">
      <c r="A14" s="4" t="inlineStr">
        <is>
          <t>DI-IMS-M-01</t>
        </is>
      </c>
      <c r="B14" s="4" t="inlineStr">
        <is>
          <t>통합경영 매뉴얼</t>
        </is>
      </c>
      <c r="C14" s="4" t="inlineStr">
        <is>
          <t>00</t>
        </is>
      </c>
      <c r="D14" s="5" t="n"/>
      <c r="E14" s="5" t="n"/>
      <c r="F14" s="5" t="n"/>
      <c r="G14" s="5" t="n"/>
      <c r="H14" s="5" t="n"/>
      <c r="I14" s="5" t="n"/>
    </row>
    <row r="15" ht="22" customHeight="1">
      <c r="A15" s="4" t="inlineStr">
        <is>
          <t>DI-IMS-F-01</t>
        </is>
      </c>
      <c r="B15" s="4" t="inlineStr">
        <is>
          <t>통합 기록양식집</t>
        </is>
      </c>
      <c r="C15" s="4" t="inlineStr">
        <is>
          <t>00</t>
        </is>
      </c>
      <c r="D15" s="5" t="n"/>
      <c r="E15" s="5" t="n"/>
      <c r="F15" s="5" t="n"/>
      <c r="G15" s="5" t="n"/>
      <c r="H15" s="5" t="n"/>
      <c r="I15" s="5" t="n"/>
    </row>
    <row r="16" ht="31.65" customHeight="1">
      <c r="A16" s="4" t="inlineStr">
        <is>
          <t>WI-01</t>
        </is>
      </c>
      <c r="B16" s="4" t="inlineStr">
        <is>
          <t>판넬 내부 배선 작업 기준 (매뉴얼 부록 B)</t>
        </is>
      </c>
      <c r="C16" s="4" t="inlineStr">
        <is>
          <t>00</t>
        </is>
      </c>
      <c r="D16" s="5" t="n"/>
      <c r="E16" s="5" t="n"/>
      <c r="F16" s="5" t="n"/>
      <c r="G16" s="5" t="n"/>
      <c r="H16" s="5" t="n"/>
      <c r="I16" s="5" t="n"/>
    </row>
    <row r="17" ht="44.475" customHeight="1">
      <c r="A17" s="4" t="inlineStr">
        <is>
          <t>외부 문서</t>
        </is>
      </c>
      <c r="B17" s="4" t="inlineStr">
        <is>
          <t>공통 외부 문서 (적용 규격·주요 부품 제조사 매뉴얼) — 판본 확인</t>
        </is>
      </c>
      <c r="C17" s="4" t="inlineStr">
        <is>
          <t>수령본</t>
        </is>
      </c>
      <c r="D17" s="5" t="n"/>
      <c r="E17" s="5" t="n"/>
      <c r="F17" s="5" t="n"/>
      <c r="G17" s="5" t="n"/>
      <c r="H17" s="5" t="n"/>
      <c r="I17" s="5" t="n"/>
    </row>
    <row r="18" ht="22" customHeight="1">
      <c r="A18" s="5" t="n"/>
      <c r="B18" s="5" t="n"/>
      <c r="C18" s="5" t="n"/>
      <c r="D18" s="5" t="n"/>
      <c r="E18" s="5" t="n"/>
      <c r="F18" s="5" t="n"/>
      <c r="G18" s="5" t="n"/>
      <c r="H18" s="5" t="n"/>
      <c r="I18" s="5" t="n"/>
    </row>
    <row r="19" ht="22" customHeight="1">
      <c r="A19" s="5" t="n"/>
      <c r="B19" s="5" t="n"/>
      <c r="C19" s="5" t="n"/>
      <c r="D19" s="5" t="n"/>
      <c r="E19" s="5" t="n"/>
      <c r="F19" s="5" t="n"/>
      <c r="G19" s="5" t="n"/>
      <c r="H19" s="5" t="n"/>
      <c r="I19" s="5" t="n"/>
    </row>
    <row r="20" ht="22" customHeight="1">
      <c r="A20" s="5" t="n"/>
      <c r="B20" s="5" t="n"/>
      <c r="C20" s="5" t="n"/>
      <c r="D20" s="5" t="n"/>
      <c r="E20" s="5" t="n"/>
      <c r="F20" s="5" t="n"/>
      <c r="G20" s="5" t="n"/>
      <c r="H20" s="5" t="n"/>
      <c r="I20" s="5" t="n"/>
    </row>
    <row r="21" ht="22" customHeight="1">
      <c r="A21" s="5" t="n"/>
      <c r="B21" s="5" t="n"/>
      <c r="C21" s="5" t="n"/>
      <c r="D21" s="5" t="n"/>
      <c r="E21" s="5" t="n"/>
      <c r="F21" s="5" t="n"/>
      <c r="G21" s="5" t="n"/>
      <c r="H21" s="5" t="n"/>
      <c r="I21" s="5" t="n"/>
    </row>
    <row r="22" ht="22" customHeight="1">
      <c r="A22" s="5" t="n"/>
      <c r="B22" s="5" t="n"/>
      <c r="C22" s="5" t="n"/>
      <c r="D22" s="5" t="n"/>
      <c r="E22" s="5" t="n"/>
      <c r="F22" s="5" t="n"/>
      <c r="G22" s="5" t="n"/>
      <c r="H22" s="5" t="n"/>
      <c r="I22" s="5" t="n"/>
    </row>
    <row r="23" ht="22" customHeight="1">
      <c r="A23" s="5" t="n"/>
      <c r="B23" s="5" t="n"/>
      <c r="C23" s="5" t="n"/>
      <c r="D23" s="5" t="n"/>
      <c r="E23" s="5" t="n"/>
      <c r="F23" s="5" t="n"/>
      <c r="G23" s="5" t="n"/>
      <c r="H23" s="5" t="n"/>
      <c r="I23" s="5" t="n"/>
    </row>
    <row r="24" ht="22" customHeight="1">
      <c r="A24" s="5" t="n"/>
      <c r="B24" s="5" t="n"/>
      <c r="C24" s="5" t="n"/>
      <c r="D24" s="5" t="n"/>
      <c r="E24" s="5" t="n"/>
      <c r="F24" s="5" t="n"/>
      <c r="G24" s="5" t="n"/>
      <c r="H24" s="5" t="n"/>
      <c r="I24" s="5" t="n"/>
    </row>
    <row r="25" ht="22" customHeight="1">
      <c r="A25" s="5" t="n"/>
      <c r="B25" s="5" t="n"/>
      <c r="C25" s="5" t="n"/>
      <c r="D25" s="5" t="n"/>
      <c r="E25" s="5" t="n"/>
      <c r="F25" s="5" t="n"/>
      <c r="G25" s="5" t="n"/>
      <c r="H25" s="5" t="n"/>
      <c r="I25" s="5" t="n"/>
    </row>
    <row r="26" ht="22" customHeight="1">
      <c r="A26" s="5" t="n"/>
      <c r="B26" s="5" t="n"/>
      <c r="C26" s="5" t="n"/>
      <c r="D26" s="5" t="n"/>
      <c r="E26" s="5" t="n"/>
      <c r="F26" s="5" t="n"/>
      <c r="G26" s="5" t="n"/>
      <c r="H26" s="5" t="n"/>
      <c r="I26" s="5" t="n"/>
    </row>
    <row r="27" ht="22" customHeight="1">
      <c r="A27" s="5" t="n"/>
      <c r="B27" s="5" t="n"/>
      <c r="C27" s="5" t="n"/>
      <c r="D27" s="5" t="n"/>
      <c r="E27" s="5" t="n"/>
      <c r="F27" s="5" t="n"/>
      <c r="G27" s="5" t="n"/>
      <c r="H27" s="5" t="n"/>
      <c r="I27" s="5" t="n"/>
    </row>
    <row r="28" ht="22" customHeight="1">
      <c r="A28" s="5" t="n"/>
      <c r="B28" s="5" t="n"/>
      <c r="C28" s="5" t="n"/>
      <c r="D28" s="5" t="n"/>
      <c r="E28" s="5" t="n"/>
      <c r="F28" s="5" t="n"/>
      <c r="G28" s="5" t="n"/>
      <c r="H28" s="5" t="n"/>
      <c r="I28" s="5" t="n"/>
    </row>
    <row r="29" ht="22" customHeight="1">
      <c r="A29" s="5" t="n"/>
      <c r="B29" s="5" t="n"/>
      <c r="C29" s="5" t="n"/>
      <c r="D29" s="5" t="n"/>
      <c r="E29" s="5" t="n"/>
      <c r="F29" s="5" t="n"/>
      <c r="G29" s="5" t="n"/>
      <c r="H29" s="5" t="n"/>
      <c r="I29" s="5" t="n"/>
    </row>
    <row r="30" ht="22" customHeight="1">
      <c r="A30" s="5" t="n"/>
      <c r="B30" s="5" t="n"/>
      <c r="C30" s="5" t="n"/>
      <c r="D30" s="5" t="n"/>
      <c r="E30" s="5" t="n"/>
      <c r="F30" s="5" t="n"/>
      <c r="G30" s="5" t="n"/>
      <c r="H30" s="5" t="n"/>
      <c r="I30" s="5" t="n"/>
    </row>
    <row r="31" ht="22" customHeight="1">
      <c r="A31" s="5" t="n"/>
      <c r="B31" s="5" t="n"/>
      <c r="C31" s="5" t="n"/>
      <c r="D31" s="5" t="n"/>
      <c r="E31" s="5" t="n"/>
      <c r="F31" s="5" t="n"/>
      <c r="G31" s="5" t="n"/>
      <c r="H31" s="5" t="n"/>
      <c r="I31" s="5" t="n"/>
    </row>
    <row r="32" ht="22" customHeight="1">
      <c r="A32" s="5" t="n"/>
      <c r="B32" s="5" t="n"/>
      <c r="C32" s="5" t="n"/>
      <c r="D32" s="5" t="n"/>
      <c r="E32" s="5" t="n"/>
      <c r="F32" s="5" t="n"/>
      <c r="G32" s="5" t="n"/>
      <c r="H32" s="5" t="n"/>
      <c r="I32" s="5" t="n"/>
    </row>
    <row r="33" ht="22" customHeight="1">
      <c r="A33" s="5" t="n"/>
      <c r="B33" s="5" t="n"/>
      <c r="C33" s="5" t="n"/>
      <c r="D33" s="5" t="n"/>
      <c r="E33" s="5" t="n"/>
      <c r="F33" s="5" t="n"/>
      <c r="G33" s="5" t="n"/>
      <c r="H33" s="5" t="n"/>
      <c r="I33" s="5" t="n"/>
    </row>
    <row r="34" ht="22" customHeight="1">
      <c r="A34" s="5" t="n"/>
      <c r="B34" s="5" t="n"/>
      <c r="C34" s="5" t="n"/>
      <c r="D34" s="5" t="n"/>
      <c r="E34" s="5" t="n"/>
      <c r="F34" s="5" t="n"/>
      <c r="G34" s="5" t="n"/>
      <c r="H34" s="5" t="n"/>
      <c r="I34" s="5" t="n"/>
    </row>
    <row r="35" ht="22" customHeight="1">
      <c r="A35" s="5" t="n"/>
      <c r="B35" s="5" t="n"/>
      <c r="C35" s="5" t="n"/>
      <c r="D35" s="5" t="n"/>
      <c r="E35" s="5" t="n"/>
      <c r="F35" s="5" t="n"/>
      <c r="G35" s="5" t="n"/>
      <c r="H35" s="5" t="n"/>
      <c r="I35" s="5" t="n"/>
    </row>
    <row r="36" ht="22" customHeight="1">
      <c r="A36" s="5" t="n"/>
      <c r="B36" s="5" t="n"/>
      <c r="C36" s="5" t="n"/>
      <c r="D36" s="5" t="n"/>
      <c r="E36" s="5" t="n"/>
      <c r="F36" s="5" t="n"/>
      <c r="G36" s="5" t="n"/>
      <c r="H36" s="5" t="n"/>
      <c r="I36" s="5" t="n"/>
    </row>
    <row r="37" ht="22" customHeight="1">
      <c r="A37" s="5" t="n"/>
      <c r="B37" s="5" t="n"/>
      <c r="C37" s="5" t="n"/>
      <c r="D37" s="5" t="n"/>
      <c r="E37" s="5" t="n"/>
      <c r="F37" s="5" t="n"/>
      <c r="G37" s="5" t="n"/>
      <c r="H37" s="5" t="n"/>
      <c r="I37" s="5" t="n"/>
    </row>
    <row r="38" ht="22" customHeight="1">
      <c r="A38" s="5" t="n"/>
      <c r="B38" s="5" t="n"/>
      <c r="C38" s="5" t="n"/>
      <c r="D38" s="5" t="n"/>
      <c r="E38" s="5" t="n"/>
      <c r="F38" s="5" t="n"/>
      <c r="G38" s="5" t="n"/>
      <c r="H38" s="5" t="n"/>
      <c r="I38" s="5" t="n"/>
    </row>
    <row r="39" ht="22" customHeight="1">
      <c r="A39" s="5" t="n"/>
      <c r="B39" s="5" t="n"/>
      <c r="C39" s="5" t="n"/>
      <c r="D39" s="5" t="n"/>
      <c r="E39" s="5" t="n"/>
      <c r="F39" s="5" t="n"/>
      <c r="G39" s="5" t="n"/>
      <c r="H39" s="5" t="n"/>
      <c r="I39" s="5" t="n"/>
    </row>
    <row r="40" ht="22" customHeight="1">
      <c r="A40" s="5" t="n"/>
      <c r="B40" s="5" t="n"/>
      <c r="C40" s="5" t="n"/>
      <c r="D40" s="5" t="n"/>
      <c r="E40" s="5" t="n"/>
      <c r="F40" s="5" t="n"/>
      <c r="G40" s="5" t="n"/>
      <c r="H40" s="5" t="n"/>
      <c r="I40" s="5" t="n"/>
    </row>
    <row r="41" ht="22" customHeight="1">
      <c r="A41" s="5" t="n"/>
      <c r="B41" s="5" t="n"/>
      <c r="C41" s="5" t="n"/>
      <c r="D41" s="5" t="n"/>
      <c r="E41" s="5" t="n"/>
      <c r="F41" s="5" t="n"/>
      <c r="G41" s="5" t="n"/>
      <c r="H41" s="5" t="n"/>
      <c r="I41" s="5" t="n"/>
    </row>
    <row r="42" ht="22" customHeight="1">
      <c r="A42" s="5" t="n"/>
      <c r="B42" s="5" t="n"/>
      <c r="C42" s="5" t="n"/>
      <c r="D42" s="5" t="n"/>
      <c r="E42" s="5" t="n"/>
      <c r="F42" s="5" t="n"/>
      <c r="G42" s="5" t="n"/>
      <c r="H42" s="5" t="n"/>
      <c r="I42" s="5" t="n"/>
    </row>
    <row r="43" ht="6" customHeight="1"/>
    <row r="44" ht="16" customHeight="1">
      <c r="A44" s="7" t="inlineStr">
        <is>
          <t>첨부·대체 기록 번호와 보관 경로 / 적용 제외(해당없음) 사유 / 미결 확인 :</t>
        </is>
      </c>
      <c r="B44" s="13" t="n"/>
      <c r="C44" s="13" t="n"/>
      <c r="D44" s="13" t="n"/>
      <c r="E44" s="13" t="n"/>
      <c r="F44" s="8" t="inlineStr">
        <is>
          <t>구분</t>
        </is>
      </c>
      <c r="G44" s="8" t="inlineStr">
        <is>
          <t>작성</t>
        </is>
      </c>
      <c r="H44" s="8" t="inlineStr">
        <is>
          <t>검토</t>
        </is>
      </c>
      <c r="I44" s="8" t="inlineStr">
        <is>
          <t>승인</t>
        </is>
      </c>
    </row>
    <row r="45" ht="28" customHeight="1">
      <c r="A45" s="13" t="n"/>
      <c r="B45" s="13" t="n"/>
      <c r="C45" s="13" t="n"/>
      <c r="D45" s="13" t="n"/>
      <c r="E45" s="13" t="n"/>
      <c r="F45" s="9" t="inlineStr">
        <is>
          <t>성명·서명</t>
        </is>
      </c>
      <c r="G45" s="10" t="n"/>
      <c r="H45" s="10" t="n"/>
      <c r="I45" s="10" t="n"/>
    </row>
    <row r="46" ht="16" customHeight="1">
      <c r="A46" s="13" t="n"/>
      <c r="B46" s="13" t="n"/>
      <c r="C46" s="13" t="n"/>
      <c r="D46" s="13" t="n"/>
      <c r="E46" s="13" t="n"/>
      <c r="F46" s="9" t="inlineStr">
        <is>
          <t>일자</t>
        </is>
      </c>
      <c r="G46" s="10" t="n"/>
      <c r="H46" s="10" t="n"/>
      <c r="I46" s="10" t="n"/>
    </row>
  </sheetData>
  <mergeCells count="13">
    <mergeCell ref="A2:I2"/>
    <mergeCell ref="A11:I11"/>
    <mergeCell ref="A7:B7"/>
    <mergeCell ref="A10:I10"/>
    <mergeCell ref="G5:I5"/>
    <mergeCell ref="A9:I9"/>
    <mergeCell ref="C6:I6"/>
    <mergeCell ref="A3:I3"/>
    <mergeCell ref="B5:E5"/>
    <mergeCell ref="A44:E46"/>
    <mergeCell ref="C7:E7"/>
    <mergeCell ref="G7:I7"/>
    <mergeCell ref="A6:B6"/>
  </mergeCells>
  <printOptions horizontalCentered="1"/>
  <pageMargins left="0.45" right="0.45" top="0.5" bottom="0.55" header="0.25" footer="0.25"/>
  <pageSetup orientation="landscape" paperSize="9" fitToHeight="0" fitToWidth="1"/>
  <headerFooter>
    <oddHeader/>
    <oddFooter>&amp;C&amp;"Malgun Gothic"&amp;8 동인엔시스 | DI-QF-13 Rev.00 | 페이지 &amp;P / 전체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2:G27"/>
  <sheetViews>
    <sheetView showGridLines="0" workbookViewId="0">
      <pane ySplit="11" topLeftCell="A12" activePane="bottomLeft" state="frozen"/>
      <selection pane="bottomLeft" activeCell="A1" sqref="A1"/>
    </sheetView>
  </sheetViews>
  <sheetFormatPr baseColWidth="8" defaultRowHeight="15"/>
  <cols>
    <col width="13.3" customWidth="1" min="1" max="1"/>
    <col width="17.8" customWidth="1" min="2" max="2"/>
    <col width="28.9" customWidth="1" min="3" max="3"/>
    <col width="11.1" customWidth="1" min="4" max="4"/>
    <col width="26.7" customWidth="1" min="5" max="5"/>
    <col width="28.9" customWidth="1" min="6" max="6"/>
    <col width="13.3" customWidth="1" min="7" max="7"/>
  </cols>
  <sheetData>
    <row r="1" ht="22" customHeight="1"/>
    <row r="2" ht="28" customHeight="1">
      <c r="A2" s="1" t="inlineStr">
        <is>
          <t>백업 확인 및 표본 복구 기록 (QF-13 별지)</t>
        </is>
      </c>
      <c r="B2" s="1" t="n"/>
      <c r="C2" s="1" t="n"/>
      <c r="D2" s="1" t="n"/>
      <c r="E2" s="1" t="n"/>
      <c r="F2" s="1" t="n"/>
      <c r="G2" s="1" t="n"/>
    </row>
    <row r="3" ht="16" customHeight="1">
      <c r="A3" s="2" t="inlineStr">
        <is>
          <t>동인엔시스 | DI-QF-13-2 | Rev.00 | 제정 2026.10.01 | 시행 2026.10.01 (대표 승인)   ·   담당: 경영관리 / 품질 | 작성: 분기 1회 표본 복구 / 백업 실패 시</t>
        </is>
      </c>
      <c r="B3" s="2" t="n"/>
      <c r="C3" s="2" t="n"/>
      <c r="D3" s="2" t="n"/>
      <c r="E3" s="2" t="n"/>
      <c r="F3" s="2" t="n"/>
      <c r="G3" s="2" t="n"/>
    </row>
    <row r="4" ht="4" customHeight="1"/>
    <row r="5" ht="20" customHeight="1">
      <c r="A5" s="12" t="inlineStr">
        <is>
          <t>연도</t>
        </is>
      </c>
      <c r="B5" s="10" t="n"/>
      <c r="C5" s="10" t="n"/>
      <c r="D5" s="10" t="n"/>
      <c r="E5" s="12" t="inlineStr">
        <is>
          <t>백업 실행 담당</t>
        </is>
      </c>
      <c r="F5" s="10" t="n"/>
      <c r="G5" s="10" t="n"/>
    </row>
    <row r="6" ht="20" customHeight="1">
      <c r="A6" s="12" t="inlineStr">
        <is>
          <t>원본 경로</t>
        </is>
      </c>
      <c r="B6" s="10" t="n"/>
      <c r="C6" s="10" t="n"/>
      <c r="D6" s="10" t="n"/>
      <c r="E6" s="12" t="inlineStr">
        <is>
          <t>백업 위치 (물리적 분리)</t>
        </is>
      </c>
      <c r="F6" s="10" t="n"/>
      <c r="G6" s="10" t="n"/>
    </row>
    <row r="7" ht="5" customHeight="1"/>
    <row r="8" ht="26.3" customHeight="1">
      <c r="A8" s="2" t="inlineStr">
        <is>
          <t>백업은 NAS 등에서 자동으로 매일 실행되게 설정하고 실패 알림을 받는다(성공 여부를 따로 적지 않는다). 분기 1회(3·6·9·12월) 도면·PLC·검사기록 각 1건 이상을 실제로 복구해 열어 보고 기록한다.</t>
        </is>
      </c>
      <c r="B8" s="2" t="n"/>
      <c r="C8" s="2" t="n"/>
      <c r="D8" s="2" t="n"/>
      <c r="E8" s="2" t="n"/>
      <c r="F8" s="2" t="n"/>
      <c r="G8" s="2" t="n"/>
    </row>
    <row r="9" ht="14.15" customHeight="1">
      <c r="A9" s="2" t="inlineStr">
        <is>
          <t>실패는 즉시 재백업·원인 조치하고 QF-09에 연결한다. 같은 디스크를 가리키는 다른 드라이브 문자(예: G:→C:)는 별도 백업으로 인정하지 않는다.</t>
        </is>
      </c>
      <c r="B9" s="2" t="n"/>
      <c r="C9" s="2" t="n"/>
      <c r="D9" s="2" t="n"/>
      <c r="E9" s="2" t="n"/>
      <c r="F9" s="2" t="n"/>
      <c r="G9" s="2" t="n"/>
    </row>
    <row r="10" ht="5" customHeight="1"/>
    <row r="11" ht="26" customHeight="1">
      <c r="A11" s="3" t="inlineStr">
        <is>
          <t>확인일</t>
        </is>
      </c>
      <c r="B11" s="3" t="inlineStr">
        <is>
          <t>구분</t>
        </is>
      </c>
      <c r="C11" s="3" t="inlineStr">
        <is>
          <t>대상 (폴더·파일)</t>
        </is>
      </c>
      <c r="D11" s="3" t="inlineStr">
        <is>
          <t>결과</t>
        </is>
      </c>
      <c r="E11" s="3" t="inlineStr">
        <is>
          <t>증거 (로그·화면 경로)</t>
        </is>
      </c>
      <c r="F11" s="3" t="inlineStr">
        <is>
          <t>실패 원인·조치 (QF-09)</t>
        </is>
      </c>
      <c r="G11" s="3" t="inlineStr">
        <is>
          <t>확인자</t>
        </is>
      </c>
    </row>
    <row r="12" ht="20" customHeight="1">
      <c r="A12" s="14" t="n"/>
      <c r="B12" s="6" t="n"/>
      <c r="C12" s="5" t="n"/>
      <c r="D12" s="6" t="n"/>
      <c r="E12" s="5" t="n"/>
      <c r="F12" s="5" t="n"/>
      <c r="G12" s="5" t="n"/>
    </row>
    <row r="13" ht="20" customHeight="1">
      <c r="A13" s="14" t="n"/>
      <c r="B13" s="6" t="n"/>
      <c r="C13" s="5" t="n"/>
      <c r="D13" s="6" t="n"/>
      <c r="E13" s="5" t="n"/>
      <c r="F13" s="5" t="n"/>
      <c r="G13" s="5" t="n"/>
    </row>
    <row r="14" ht="20" customHeight="1">
      <c r="A14" s="14" t="n"/>
      <c r="B14" s="6" t="n"/>
      <c r="C14" s="5" t="n"/>
      <c r="D14" s="6" t="n"/>
      <c r="E14" s="5" t="n"/>
      <c r="F14" s="5" t="n"/>
      <c r="G14" s="5" t="n"/>
    </row>
    <row r="15" ht="20" customHeight="1">
      <c r="A15" s="14" t="n"/>
      <c r="B15" s="6" t="n"/>
      <c r="C15" s="5" t="n"/>
      <c r="D15" s="6" t="n"/>
      <c r="E15" s="5" t="n"/>
      <c r="F15" s="5" t="n"/>
      <c r="G15" s="5" t="n"/>
    </row>
    <row r="16" ht="20" customHeight="1">
      <c r="A16" s="14" t="n"/>
      <c r="B16" s="6" t="n"/>
      <c r="C16" s="5" t="n"/>
      <c r="D16" s="6" t="n"/>
      <c r="E16" s="5" t="n"/>
      <c r="F16" s="5" t="n"/>
      <c r="G16" s="5" t="n"/>
    </row>
    <row r="17" ht="20" customHeight="1">
      <c r="A17" s="14" t="n"/>
      <c r="B17" s="6" t="n"/>
      <c r="C17" s="5" t="n"/>
      <c r="D17" s="6" t="n"/>
      <c r="E17" s="5" t="n"/>
      <c r="F17" s="5" t="n"/>
      <c r="G17" s="5" t="n"/>
    </row>
    <row r="18" ht="20" customHeight="1">
      <c r="A18" s="14" t="n"/>
      <c r="B18" s="6" t="n"/>
      <c r="C18" s="5" t="n"/>
      <c r="D18" s="6" t="n"/>
      <c r="E18" s="5" t="n"/>
      <c r="F18" s="5" t="n"/>
      <c r="G18" s="5" t="n"/>
    </row>
    <row r="19" ht="20" customHeight="1">
      <c r="A19" s="14" t="n"/>
      <c r="B19" s="6" t="n"/>
      <c r="C19" s="5" t="n"/>
      <c r="D19" s="6" t="n"/>
      <c r="E19" s="5" t="n"/>
      <c r="F19" s="5" t="n"/>
      <c r="G19" s="5" t="n"/>
    </row>
    <row r="20" ht="20" customHeight="1">
      <c r="A20" s="14" t="n"/>
      <c r="B20" s="6" t="n"/>
      <c r="C20" s="5" t="n"/>
      <c r="D20" s="6" t="n"/>
      <c r="E20" s="5" t="n"/>
      <c r="F20" s="5" t="n"/>
      <c r="G20" s="5" t="n"/>
    </row>
    <row r="21" ht="20" customHeight="1">
      <c r="A21" s="14" t="n"/>
      <c r="B21" s="6" t="n"/>
      <c r="C21" s="5" t="n"/>
      <c r="D21" s="6" t="n"/>
      <c r="E21" s="5" t="n"/>
      <c r="F21" s="5" t="n"/>
      <c r="G21" s="5" t="n"/>
    </row>
    <row r="22" ht="20" customHeight="1">
      <c r="A22" s="14" t="n"/>
      <c r="B22" s="6" t="n"/>
      <c r="C22" s="5" t="n"/>
      <c r="D22" s="6" t="n"/>
      <c r="E22" s="5" t="n"/>
      <c r="F22" s="5" t="n"/>
      <c r="G22" s="5" t="n"/>
    </row>
    <row r="23" ht="20" customHeight="1">
      <c r="A23" s="14" t="n"/>
      <c r="B23" s="6" t="n"/>
      <c r="C23" s="5" t="n"/>
      <c r="D23" s="6" t="n"/>
      <c r="E23" s="5" t="n"/>
      <c r="F23" s="5" t="n"/>
      <c r="G23" s="5" t="n"/>
    </row>
    <row r="24" ht="6" customHeight="1"/>
    <row r="25" ht="16" customHeight="1">
      <c r="A25" s="7" t="inlineStr">
        <is>
          <t>첨부·대체 기록 번호와 보관 경로 / 적용 제외(해당없음) 사유 / 미결 확인 :</t>
        </is>
      </c>
      <c r="B25" s="13" t="n"/>
      <c r="C25" s="13" t="n"/>
      <c r="D25" s="8" t="inlineStr">
        <is>
          <t>구분</t>
        </is>
      </c>
      <c r="E25" s="8" t="inlineStr">
        <is>
          <t>작성</t>
        </is>
      </c>
      <c r="F25" s="8" t="inlineStr">
        <is>
          <t>검토</t>
        </is>
      </c>
      <c r="G25" s="8" t="inlineStr">
        <is>
          <t>승인</t>
        </is>
      </c>
    </row>
    <row r="26" ht="28" customHeight="1">
      <c r="A26" s="13" t="n"/>
      <c r="B26" s="13" t="n"/>
      <c r="C26" s="13" t="n"/>
      <c r="D26" s="9" t="inlineStr">
        <is>
          <t>성명·서명</t>
        </is>
      </c>
      <c r="E26" s="10" t="n"/>
      <c r="F26" s="10" t="n"/>
      <c r="G26" s="10" t="n"/>
    </row>
    <row r="27" ht="16" customHeight="1">
      <c r="A27" s="13" t="n"/>
      <c r="B27" s="13" t="n"/>
      <c r="C27" s="13" t="n"/>
      <c r="D27" s="9" t="inlineStr">
        <is>
          <t>일자</t>
        </is>
      </c>
      <c r="E27" s="10" t="n"/>
      <c r="F27" s="10" t="n"/>
      <c r="G27" s="10" t="n"/>
    </row>
  </sheetData>
  <mergeCells count="9">
    <mergeCell ref="B5:D5"/>
    <mergeCell ref="A9:G9"/>
    <mergeCell ref="A8:G8"/>
    <mergeCell ref="A3:G3"/>
    <mergeCell ref="F5:G5"/>
    <mergeCell ref="A2:G2"/>
    <mergeCell ref="F6:G6"/>
    <mergeCell ref="A25:C27"/>
    <mergeCell ref="B6:D6"/>
  </mergeCells>
  <conditionalFormatting sqref="B12:B23">
    <cfRule type="expression" priority="1" dxfId="0">
      <formula>OR(B12="불합격",B12="보류",B12="부적합",B12="미흡",B12="미준수",B12="미확인",B12="실패",B12="사용금지",B12="중지·개선",B12="재교육·동행",B12="C 발주중지",B12="중요")</formula>
    </cfRule>
  </conditionalFormatting>
  <conditionalFormatting sqref="D12:D23">
    <cfRule type="expression" priority="2" dxfId="0">
      <formula>OR(D12="불합격",D12="보류",D12="부적합",D12="미흡",D12="미준수",D12="미확인",D12="실패",D12="사용금지",D12="중지·개선",D12="재교육·동행",D12="C 발주중지",D12="중요")</formula>
    </cfRule>
  </conditionalFormatting>
  <dataValidations count="2">
    <dataValidation sqref="B12:B23" showDropDown="0" showInputMessage="0" showErrorMessage="0" allowBlank="1" error="목록에서 고르십시오: 분기 표본 복구, 백업 실패·조치" type="list" errorStyle="warning">
      <formula1>"분기 표본 복구,백업 실패·조치"</formula1>
    </dataValidation>
    <dataValidation sqref="D12:D23" showDropDown="0" showInputMessage="0" showErrorMessage="0" allowBlank="1" error="목록에서 고르십시오: 성공, 실패" type="list" errorStyle="warning">
      <formula1>"성공,실패"</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DI-QF-13-2 Rev.00 | 페이지 &amp;P / 전체 &amp;N</oddFooter>
    <evenHeader/>
    <evenFooter/>
    <firstHeader/>
    <firstFooter/>
  </headerFooter>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2:J24"/>
  <sheetViews>
    <sheetView showGridLines="0" workbookViewId="0">
      <pane ySplit="10" topLeftCell="A11" activePane="bottomLeft" state="frozen"/>
      <selection pane="bottomLeft" activeCell="A1" sqref="A1"/>
    </sheetView>
  </sheetViews>
  <sheetFormatPr baseColWidth="8" defaultRowHeight="15"/>
  <cols>
    <col width="10.4" customWidth="1" min="1" max="1"/>
    <col width="13.5" customWidth="1" min="2" max="2"/>
    <col width="12.4" customWidth="1" min="3" max="3"/>
    <col width="13.5" customWidth="1" min="4" max="4"/>
    <col width="14.5" customWidth="1" min="5" max="5"/>
    <col width="24.9" customWidth="1" min="6" max="6"/>
    <col width="10.4" customWidth="1" min="7" max="7"/>
    <col width="14.5" customWidth="1" min="8" max="8"/>
    <col width="11.4" customWidth="1" min="9" max="9"/>
    <col width="14.5" customWidth="1" min="10" max="10"/>
  </cols>
  <sheetData>
    <row r="1" ht="22" customHeight="1"/>
    <row r="2" ht="28" customHeight="1">
      <c r="A2" s="1" t="inlineStr">
        <is>
          <t>고객 만족 의견 및 고객 감사 요구</t>
        </is>
      </c>
      <c r="B2" s="1" t="n"/>
      <c r="C2" s="1" t="n"/>
      <c r="D2" s="1" t="n"/>
      <c r="E2" s="1" t="n"/>
      <c r="F2" s="1" t="n"/>
      <c r="G2" s="1" t="n"/>
      <c r="H2" s="1" t="n"/>
      <c r="I2" s="1" t="n"/>
      <c r="J2" s="1" t="n"/>
    </row>
    <row r="3" ht="16" customHeight="1">
      <c r="A3" s="2" t="inlineStr">
        <is>
          <t>동인엔시스 | DI-QF-14 | Rev.00 | 제정 2026.10.01 | 시행 2026.10.01 (대표 승인)   ·   담당: 영업관리 / 품질 | 작성: SAT 종료·연 1회·고객감사 시</t>
        </is>
      </c>
      <c r="B3" s="2" t="n"/>
      <c r="C3" s="2" t="n"/>
      <c r="D3" s="2" t="n"/>
      <c r="E3" s="2" t="n"/>
      <c r="F3" s="2" t="n"/>
      <c r="G3" s="2" t="n"/>
      <c r="H3" s="2" t="n"/>
      <c r="I3" s="2" t="n"/>
      <c r="J3" s="2" t="n"/>
    </row>
    <row r="4" ht="4" customHeight="1"/>
    <row r="5" ht="20" customHeight="1">
      <c r="A5" s="12" t="inlineStr">
        <is>
          <t>관리연도</t>
        </is>
      </c>
      <c r="B5" s="10" t="n"/>
      <c r="C5" s="10" t="n"/>
      <c r="D5" s="10" t="n"/>
      <c r="E5" s="10" t="n"/>
      <c r="F5" s="10" t="n"/>
      <c r="G5" s="12" t="inlineStr">
        <is>
          <t>담당자</t>
        </is>
      </c>
      <c r="H5" s="10" t="n"/>
      <c r="I5" s="10" t="n"/>
      <c r="J5" s="10" t="n"/>
    </row>
    <row r="6" ht="5" customHeight="1"/>
    <row r="7" ht="14.15" customHeight="1">
      <c r="A7" s="2" t="inlineStr">
        <is>
          <t>SAT 종료 시 고객 의견을 확인하고 연 1회 이상 주요 고객 의견을 청취한다. 고객 감사 요구·지적과 고객별 최신 점검표 판본도 여기에 등록한다.</t>
        </is>
      </c>
      <c r="B7" s="2" t="n"/>
      <c r="C7" s="2" t="n"/>
      <c r="D7" s="2" t="n"/>
      <c r="E7" s="2" t="n"/>
      <c r="F7" s="2" t="n"/>
      <c r="G7" s="2" t="n"/>
      <c r="H7" s="2" t="n"/>
      <c r="I7" s="2" t="n"/>
      <c r="J7" s="2" t="n"/>
    </row>
    <row r="8" ht="14.15" customHeight="1">
      <c r="A8" s="2" t="inlineStr">
        <is>
          <t>단순 만족표 외에 납기·FAT 재작업·클레임·고객감사 지적 추이를 경영검토(MF-02)에 반영한다.</t>
        </is>
      </c>
      <c r="B8" s="2" t="n"/>
      <c r="C8" s="2" t="n"/>
      <c r="D8" s="2" t="n"/>
      <c r="E8" s="2" t="n"/>
      <c r="F8" s="2" t="n"/>
      <c r="G8" s="2" t="n"/>
      <c r="H8" s="2" t="n"/>
      <c r="I8" s="2" t="n"/>
      <c r="J8" s="2" t="n"/>
    </row>
    <row r="9" ht="5" customHeight="1"/>
    <row r="10" ht="26" customHeight="1">
      <c r="A10" s="3" t="inlineStr">
        <is>
          <t>일자</t>
        </is>
      </c>
      <c r="B10" s="3" t="inlineStr">
        <is>
          <t>고객</t>
        </is>
      </c>
      <c r="C10" s="3" t="inlineStr">
        <is>
          <t>프로젝트</t>
        </is>
      </c>
      <c r="D10" s="3" t="inlineStr">
        <is>
          <t>구분</t>
        </is>
      </c>
      <c r="E10" s="3" t="inlineStr">
        <is>
          <t>확인 방법·자료</t>
        </is>
      </c>
      <c r="F10" s="3" t="inlineStr">
        <is>
          <t>요구·평가·의견</t>
        </is>
      </c>
      <c r="G10" s="3" t="inlineStr">
        <is>
          <t>만족도</t>
        </is>
      </c>
      <c r="H10" s="3" t="inlineStr">
        <is>
          <t>조치·NCR 연결</t>
        </is>
      </c>
      <c r="I10" s="3" t="inlineStr">
        <is>
          <t>담당·기한</t>
        </is>
      </c>
      <c r="J10" s="3" t="inlineStr">
        <is>
          <t>결과·고객통보</t>
        </is>
      </c>
    </row>
    <row r="11" ht="24" customHeight="1">
      <c r="A11" s="5" t="n"/>
      <c r="B11" s="5" t="n"/>
      <c r="C11" s="5" t="n"/>
      <c r="D11" s="6" t="n"/>
      <c r="E11" s="5" t="n"/>
      <c r="F11" s="5" t="n"/>
      <c r="G11" s="6" t="n"/>
      <c r="H11" s="5" t="n"/>
      <c r="I11" s="5" t="n"/>
      <c r="J11" s="5" t="n"/>
    </row>
    <row r="12" ht="24" customHeight="1">
      <c r="A12" s="5" t="n"/>
      <c r="B12" s="5" t="n"/>
      <c r="C12" s="5" t="n"/>
      <c r="D12" s="6" t="n"/>
      <c r="E12" s="5" t="n"/>
      <c r="F12" s="5" t="n"/>
      <c r="G12" s="6" t="n"/>
      <c r="H12" s="5" t="n"/>
      <c r="I12" s="5" t="n"/>
      <c r="J12" s="5" t="n"/>
    </row>
    <row r="13" ht="24" customHeight="1">
      <c r="A13" s="5" t="n"/>
      <c r="B13" s="5" t="n"/>
      <c r="C13" s="5" t="n"/>
      <c r="D13" s="6" t="n"/>
      <c r="E13" s="5" t="n"/>
      <c r="F13" s="5" t="n"/>
      <c r="G13" s="6" t="n"/>
      <c r="H13" s="5" t="n"/>
      <c r="I13" s="5" t="n"/>
      <c r="J13" s="5" t="n"/>
    </row>
    <row r="14" ht="24" customHeight="1">
      <c r="A14" s="5" t="n"/>
      <c r="B14" s="5" t="n"/>
      <c r="C14" s="5" t="n"/>
      <c r="D14" s="6" t="n"/>
      <c r="E14" s="5" t="n"/>
      <c r="F14" s="5" t="n"/>
      <c r="G14" s="6" t="n"/>
      <c r="H14" s="5" t="n"/>
      <c r="I14" s="5" t="n"/>
      <c r="J14" s="5" t="n"/>
    </row>
    <row r="15" ht="24" customHeight="1">
      <c r="A15" s="5" t="n"/>
      <c r="B15" s="5" t="n"/>
      <c r="C15" s="5" t="n"/>
      <c r="D15" s="6" t="n"/>
      <c r="E15" s="5" t="n"/>
      <c r="F15" s="5" t="n"/>
      <c r="G15" s="6" t="n"/>
      <c r="H15" s="5" t="n"/>
      <c r="I15" s="5" t="n"/>
      <c r="J15" s="5" t="n"/>
    </row>
    <row r="16" ht="24" customHeight="1">
      <c r="A16" s="5" t="n"/>
      <c r="B16" s="5" t="n"/>
      <c r="C16" s="5" t="n"/>
      <c r="D16" s="6" t="n"/>
      <c r="E16" s="5" t="n"/>
      <c r="F16" s="5" t="n"/>
      <c r="G16" s="6" t="n"/>
      <c r="H16" s="5" t="n"/>
      <c r="I16" s="5" t="n"/>
      <c r="J16" s="5" t="n"/>
    </row>
    <row r="17" ht="24" customHeight="1">
      <c r="A17" s="5" t="n"/>
      <c r="B17" s="5" t="n"/>
      <c r="C17" s="5" t="n"/>
      <c r="D17" s="6" t="n"/>
      <c r="E17" s="5" t="n"/>
      <c r="F17" s="5" t="n"/>
      <c r="G17" s="6" t="n"/>
      <c r="H17" s="5" t="n"/>
      <c r="I17" s="5" t="n"/>
      <c r="J17" s="5" t="n"/>
    </row>
    <row r="18" ht="24" customHeight="1">
      <c r="A18" s="5" t="n"/>
      <c r="B18" s="5" t="n"/>
      <c r="C18" s="5" t="n"/>
      <c r="D18" s="6" t="n"/>
      <c r="E18" s="5" t="n"/>
      <c r="F18" s="5" t="n"/>
      <c r="G18" s="6" t="n"/>
      <c r="H18" s="5" t="n"/>
      <c r="I18" s="5" t="n"/>
      <c r="J18" s="5" t="n"/>
    </row>
    <row r="19" ht="24" customHeight="1">
      <c r="A19" s="5" t="n"/>
      <c r="B19" s="5" t="n"/>
      <c r="C19" s="5" t="n"/>
      <c r="D19" s="6" t="n"/>
      <c r="E19" s="5" t="n"/>
      <c r="F19" s="5" t="n"/>
      <c r="G19" s="6" t="n"/>
      <c r="H19" s="5" t="n"/>
      <c r="I19" s="5" t="n"/>
      <c r="J19" s="5" t="n"/>
    </row>
    <row r="20" ht="24" customHeight="1">
      <c r="A20" s="5" t="n"/>
      <c r="B20" s="5" t="n"/>
      <c r="C20" s="5" t="n"/>
      <c r="D20" s="6" t="n"/>
      <c r="E20" s="5" t="n"/>
      <c r="F20" s="5" t="n"/>
      <c r="G20" s="6" t="n"/>
      <c r="H20" s="5" t="n"/>
      <c r="I20" s="5" t="n"/>
      <c r="J20" s="5" t="n"/>
    </row>
    <row r="21" ht="6" customHeight="1"/>
    <row r="22" ht="16" customHeight="1">
      <c r="A22" s="7" t="inlineStr">
        <is>
          <t>첨부·대체 기록 번호와 보관 경로 / 적용 제외(해당없음) 사유 / 미결 확인 :</t>
        </is>
      </c>
      <c r="B22" s="13" t="n"/>
      <c r="C22" s="13" t="n"/>
      <c r="D22" s="13" t="n"/>
      <c r="E22" s="13" t="n"/>
      <c r="F22" s="13" t="n"/>
      <c r="G22" s="8" t="inlineStr">
        <is>
          <t>구분</t>
        </is>
      </c>
      <c r="H22" s="8" t="inlineStr">
        <is>
          <t>작성</t>
        </is>
      </c>
      <c r="I22" s="8" t="inlineStr">
        <is>
          <t>검토</t>
        </is>
      </c>
      <c r="J22" s="8" t="inlineStr">
        <is>
          <t>승인</t>
        </is>
      </c>
    </row>
    <row r="23" ht="28" customHeight="1">
      <c r="A23" s="13" t="n"/>
      <c r="B23" s="13" t="n"/>
      <c r="C23" s="13" t="n"/>
      <c r="D23" s="13" t="n"/>
      <c r="E23" s="13" t="n"/>
      <c r="F23" s="13" t="n"/>
      <c r="G23" s="9" t="inlineStr">
        <is>
          <t>성명·서명</t>
        </is>
      </c>
      <c r="H23" s="10" t="n"/>
      <c r="I23" s="10" t="n"/>
      <c r="J23" s="10" t="n"/>
    </row>
    <row r="24" ht="16" customHeight="1">
      <c r="A24" s="13" t="n"/>
      <c r="B24" s="13" t="n"/>
      <c r="C24" s="13" t="n"/>
      <c r="D24" s="13" t="n"/>
      <c r="E24" s="13" t="n"/>
      <c r="F24" s="13" t="n"/>
      <c r="G24" s="9" t="inlineStr">
        <is>
          <t>일자</t>
        </is>
      </c>
      <c r="H24" s="10" t="n"/>
      <c r="I24" s="10" t="n"/>
      <c r="J24" s="10" t="n"/>
    </row>
  </sheetData>
  <mergeCells count="7">
    <mergeCell ref="A8:J8"/>
    <mergeCell ref="A22:F24"/>
    <mergeCell ref="H5:J5"/>
    <mergeCell ref="A3:J3"/>
    <mergeCell ref="B5:F5"/>
    <mergeCell ref="A7:J7"/>
    <mergeCell ref="A2:J2"/>
  </mergeCells>
  <conditionalFormatting sqref="D11:D20">
    <cfRule type="expression" priority="1" dxfId="0">
      <formula>OR(D11="불합격",D11="보류",D11="부적합",D11="미흡",D11="미준수",D11="미확인",D11="실패",D11="사용금지",D11="중지·개선",D11="재교육·동행",D11="C 발주중지",D11="중요")</formula>
    </cfRule>
  </conditionalFormatting>
  <conditionalFormatting sqref="G11:G20">
    <cfRule type="expression" priority="2" dxfId="0">
      <formula>OR(G11="불합격",G11="보류",G11="부적합",G11="미흡",G11="미준수",G11="미확인",G11="실패",G11="사용금지",G11="중지·개선",G11="재교육·동행",G11="C 발주중지",G11="중요")</formula>
    </cfRule>
  </conditionalFormatting>
  <dataValidations count="2">
    <dataValidation sqref="D11:D20" showDropDown="0" showInputMessage="0" showErrorMessage="0" allowBlank="1" error="목록에서 고르십시오: SAT 종료 의견, 정기 의견 청취, 고객 감사·점검, 클레임·AS" type="list" errorStyle="warning">
      <formula1>"SAT 종료 의견,정기 의견 청취,고객 감사·점검,클레임·AS"</formula1>
    </dataValidation>
    <dataValidation sqref="G11:G20" showDropDown="0" showInputMessage="0" showErrorMessage="0" allowBlank="1" error="목록에서 고르십시오: 5 매우만족, 4 만족, 3 보통, 2 불만, 1 매우불만" type="list" errorStyle="warning">
      <formula1>"5 매우만족,4 만족,3 보통,2 불만,1 매우불만"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DI-QF-14 Rev.00 | 페이지 &amp;P / 전체 &amp;N</oddFooter>
    <evenHeader/>
    <evenFooter/>
    <firstHeader/>
    <firstFooter/>
  </headerFooter>
  <drawing xmlns:r="http://schemas.openxmlformats.org/officeDocument/2006/relationships" r:id="rId1"/>
</worksheet>
</file>

<file path=xl/worksheets/sheet20.xml><?xml version="1.0" encoding="utf-8"?>
<worksheet xmlns="http://schemas.openxmlformats.org/spreadsheetml/2006/main">
  <sheetPr>
    <outlinePr summaryBelow="1" summaryRight="1"/>
    <pageSetUpPr fitToPage="1"/>
  </sheetPr>
  <dimension ref="A2:G42"/>
  <sheetViews>
    <sheetView showGridLines="0" workbookViewId="0">
      <pane ySplit="14" topLeftCell="A15" activePane="bottomLeft" state="frozen"/>
      <selection pane="bottomLeft" activeCell="A1" sqref="A1"/>
    </sheetView>
  </sheetViews>
  <sheetFormatPr baseColWidth="8" defaultRowHeight="15"/>
  <cols>
    <col width="17.5" customWidth="1" min="1" max="1"/>
    <col width="24.1" customWidth="1" min="2" max="2"/>
    <col width="21.9" customWidth="1" min="3" max="3"/>
    <col width="19.7" customWidth="1" min="4" max="4"/>
    <col width="19.7" customWidth="1" min="5" max="5"/>
    <col width="19.7" customWidth="1" min="6" max="6"/>
    <col width="17.5" customWidth="1" min="7" max="7"/>
  </cols>
  <sheetData>
    <row r="1" ht="22" customHeight="1"/>
    <row r="2" ht="28" customHeight="1">
      <c r="A2" s="1" t="inlineStr">
        <is>
          <t>프로젝트 기술 및 검사 기준 승인</t>
        </is>
      </c>
      <c r="B2" s="1" t="n"/>
      <c r="C2" s="1" t="n"/>
      <c r="D2" s="1" t="n"/>
      <c r="E2" s="1" t="n"/>
      <c r="F2" s="1" t="n"/>
      <c r="G2" s="1" t="n"/>
    </row>
    <row r="3" ht="16" customHeight="1">
      <c r="A3" s="2" t="inlineStr">
        <is>
          <t>동인엔시스 | DI-QF-15 | Rev.00 | 제정 2026.10.01 | 시행 2026.10.01 (대표 승인)   ·   담당: 설계·시험 / 기술팀 총괄 | 작성: 출도·발주·제작 전 / 변경 시</t>
        </is>
      </c>
      <c r="B3" s="2" t="n"/>
      <c r="C3" s="2" t="n"/>
      <c r="D3" s="2" t="n"/>
      <c r="E3" s="2" t="n"/>
      <c r="F3" s="2" t="n"/>
      <c r="G3" s="2" t="n"/>
    </row>
    <row r="4" ht="4" customHeight="1"/>
    <row r="5" ht="20" customHeight="1">
      <c r="A5" s="12" t="inlineStr">
        <is>
          <t>프로젝트 번호</t>
        </is>
      </c>
      <c r="B5" s="10" t="n"/>
      <c r="C5" s="12" t="inlineStr">
        <is>
          <t>판넬 번호</t>
        </is>
      </c>
      <c r="D5" s="10" t="n"/>
      <c r="E5" s="12" t="inlineStr">
        <is>
          <t>고객</t>
        </is>
      </c>
      <c r="F5" s="10" t="n"/>
      <c r="G5" s="10" t="n"/>
    </row>
    <row r="6" ht="20" customHeight="1">
      <c r="A6" s="12" t="inlineStr">
        <is>
          <t>기준 Rev</t>
        </is>
      </c>
      <c r="B6" s="10" t="n"/>
      <c r="C6" s="10" t="n"/>
      <c r="D6" s="10" t="n"/>
      <c r="E6" s="10" t="n"/>
      <c r="F6" s="10" t="n"/>
      <c r="G6" s="10" t="n"/>
    </row>
    <row r="7" ht="28.3" customHeight="1">
      <c r="A7" s="12" t="inlineStr">
        <is>
          <t>적용 고객사양·법규·제품규격 판본</t>
        </is>
      </c>
      <c r="B7" s="10" t="n"/>
      <c r="C7" s="10" t="n"/>
      <c r="D7" s="10" t="n"/>
      <c r="E7" s="10" t="n"/>
      <c r="F7" s="10" t="n"/>
      <c r="G7" s="10" t="n"/>
    </row>
    <row r="8" ht="20" customHeight="1">
      <c r="A8" s="12" t="inlineStr">
        <is>
          <t>입력자료·도면 Rev</t>
        </is>
      </c>
      <c r="B8" s="10" t="n"/>
      <c r="C8" s="10" t="n"/>
      <c r="D8" s="10" t="n"/>
      <c r="E8" s="10" t="n"/>
      <c r="F8" s="10" t="n"/>
      <c r="G8" s="10" t="n"/>
    </row>
    <row r="9" ht="28.3" customHeight="1">
      <c r="A9" s="12" t="inlineStr">
        <is>
          <t>설계자 / 검토자</t>
        </is>
      </c>
      <c r="B9" s="10" t="n"/>
      <c r="C9" s="10" t="n"/>
      <c r="D9" s="12" t="inlineStr">
        <is>
          <t>승인자·승인일 / 고객 승인 증거</t>
        </is>
      </c>
      <c r="E9" s="10" t="n"/>
      <c r="F9" s="10" t="n"/>
      <c r="G9" s="10" t="n"/>
    </row>
    <row r="10" ht="5" customHeight="1"/>
    <row r="11" ht="14.15" customHeight="1">
      <c r="A11" s="2" t="inlineStr">
        <is>
          <t>이 표가 확정되기 전 관련 발주·제작·시험 금지. 수치는 동일 정격·모델·조건의 근거로 확정한다. 고객 요구가 안전·법규와 충돌하면 기술 책임자가 해결 후 출도한다.</t>
        </is>
      </c>
      <c r="B11" s="2" t="n"/>
      <c r="C11" s="2" t="n"/>
      <c r="D11" s="2" t="n"/>
      <c r="E11" s="2" t="n"/>
      <c r="F11" s="2" t="n"/>
      <c r="G11" s="2" t="n"/>
    </row>
    <row r="12" ht="14.15" customHeight="1">
      <c r="A12" s="2" t="inlineStr">
        <is>
          <t>토크·전선은 모델·회로별로 행을 나누어 적는다(행 추가 가능). 같은 사양의 반복 판넬은 기준 Rev를 재사용하고 판넬 번호만 추가한다.</t>
        </is>
      </c>
      <c r="B12" s="2" t="n"/>
      <c r="C12" s="2" t="n"/>
      <c r="D12" s="2" t="n"/>
      <c r="E12" s="2" t="n"/>
      <c r="F12" s="2" t="n"/>
      <c r="G12" s="2" t="n"/>
    </row>
    <row r="13" ht="5" customHeight="1"/>
    <row r="14" ht="26" customHeight="1">
      <c r="A14" s="3" t="inlineStr">
        <is>
          <t>항목·회로·부품</t>
        </is>
      </c>
      <c r="B14" s="3" t="inlineStr">
        <is>
          <t>모델·정격·대상</t>
        </is>
      </c>
      <c r="C14" s="3" t="inlineStr">
        <is>
          <t>값·단위·허용범위</t>
        </is>
      </c>
      <c r="D14" s="3" t="inlineStr">
        <is>
          <t>방법·시험조건</t>
        </is>
      </c>
      <c r="E14" s="3" t="inlineStr">
        <is>
          <t>근거자료·페이지</t>
        </is>
      </c>
      <c r="F14" s="3" t="inlineStr">
        <is>
          <t>적용/해당없음 사유</t>
        </is>
      </c>
      <c r="G14" s="3" t="inlineStr">
        <is>
          <t>승인·변경이력</t>
        </is>
      </c>
    </row>
    <row r="15" ht="44.475" customHeight="1">
      <c r="A15" s="4" t="inlineStr">
        <is>
          <t>제품 적용규격</t>
        </is>
      </c>
      <c r="B15" s="4" t="inlineStr">
        <is>
          <t>제어반/기계제어/현장 설치 범위 (IEC 61439·60204-1 등 해당 여부)</t>
        </is>
      </c>
      <c r="C15" s="5" t="n"/>
      <c r="D15" s="5" t="n"/>
      <c r="E15" s="5" t="n"/>
      <c r="F15" s="5" t="n"/>
      <c r="G15" s="5" t="n"/>
    </row>
    <row r="16" ht="31.65" customHeight="1">
      <c r="A16" s="4" t="inlineStr">
        <is>
          <t>전원·단락·IP</t>
        </is>
      </c>
      <c r="B16" s="4" t="inlineStr">
        <is>
          <t>정격전압·전류·단락강도·보호·설치환경</t>
        </is>
      </c>
      <c r="C16" s="5" t="n"/>
      <c r="D16" s="5" t="n"/>
      <c r="E16" s="5" t="n"/>
      <c r="F16" s="5" t="n"/>
      <c r="G16" s="5" t="n"/>
    </row>
    <row r="17" ht="24" customHeight="1">
      <c r="A17" s="4" t="inlineStr">
        <is>
          <t>전선 규격·색상</t>
        </is>
      </c>
      <c r="B17" s="4" t="inlineStr">
        <is>
          <t>회로별 단면적·등급·식별</t>
        </is>
      </c>
      <c r="C17" s="5" t="n"/>
      <c r="D17" s="5" t="n"/>
      <c r="E17" s="5" t="n"/>
      <c r="F17" s="5" t="n"/>
      <c r="G17" s="5" t="n"/>
    </row>
    <row r="18" ht="24" customHeight="1">
      <c r="A18" s="4" t="inlineStr">
        <is>
          <t>단자 체결 토크</t>
        </is>
      </c>
      <c r="B18" s="4" t="inlineStr">
        <is>
          <t>부품 모델·전선·압착단자별</t>
        </is>
      </c>
      <c r="C18" s="5" t="n"/>
      <c r="D18" s="5" t="n"/>
      <c r="E18" s="5" t="n"/>
      <c r="F18" s="5" t="n"/>
      <c r="G18" s="5" t="n"/>
    </row>
    <row r="19" ht="31.65" customHeight="1">
      <c r="A19" s="4" t="inlineStr">
        <is>
          <t>체결 완료 마킹</t>
        </is>
      </c>
      <c r="B19" s="4" t="inlineStr">
        <is>
          <t>대상 부위·표시방법·재체결 시 처리</t>
        </is>
      </c>
      <c r="C19" s="5" t="n"/>
      <c r="D19" s="5" t="n"/>
      <c r="E19" s="5" t="n"/>
      <c r="F19" s="5" t="n"/>
      <c r="G19" s="5" t="n"/>
    </row>
    <row r="20" ht="24" customHeight="1">
      <c r="A20" s="4" t="inlineStr">
        <is>
          <t>보호기기 설정값</t>
        </is>
      </c>
      <c r="B20" s="4" t="inlineStr">
        <is>
          <t>차단기·EOCR·타이머 설정표</t>
        </is>
      </c>
      <c r="C20" s="5" t="n"/>
      <c r="D20" s="5" t="n"/>
      <c r="E20" s="5" t="n"/>
      <c r="F20" s="5" t="n"/>
      <c r="G20" s="5" t="n"/>
    </row>
    <row r="21" ht="24" customHeight="1">
      <c r="A21" s="4" t="inlineStr">
        <is>
          <t>공간·연면거리</t>
        </is>
      </c>
      <c r="B21" s="4" t="inlineStr">
        <is>
          <t>충전부 이격 기준</t>
        </is>
      </c>
      <c r="C21" s="5" t="n"/>
      <c r="D21" s="5" t="n"/>
      <c r="E21" s="5" t="n"/>
      <c r="F21" s="5" t="n"/>
      <c r="G21" s="5" t="n"/>
    </row>
    <row r="22" ht="24" customHeight="1">
      <c r="A22" s="4" t="inlineStr">
        <is>
          <t>절연저항</t>
        </is>
      </c>
      <c r="B22" s="4" t="inlineStr">
        <is>
          <t>시험전압·기준·전자부품 보호</t>
        </is>
      </c>
      <c r="C22" s="5" t="n"/>
      <c r="D22" s="5" t="n"/>
      <c r="E22" s="5" t="n"/>
      <c r="F22" s="5" t="n"/>
      <c r="G22" s="5" t="n"/>
    </row>
    <row r="23" ht="31.65" customHeight="1">
      <c r="A23" s="4" t="inlineStr">
        <is>
          <t>내전압</t>
        </is>
      </c>
      <c r="B23" s="4" t="inlineStr">
        <is>
          <t>적용여부·전압·시간·회로 분리</t>
        </is>
      </c>
      <c r="C23" s="5" t="n"/>
      <c r="D23" s="5" t="n"/>
      <c r="E23" s="5" t="n"/>
      <c r="F23" s="5" t="n"/>
      <c r="G23" s="5" t="n"/>
    </row>
    <row r="24" ht="24" customHeight="1">
      <c r="A24" s="4" t="inlineStr">
        <is>
          <t>접지 연속성</t>
        </is>
      </c>
      <c r="B24" s="4" t="inlineStr">
        <is>
          <t>시험조건·허용값</t>
        </is>
      </c>
      <c r="C24" s="5" t="n"/>
      <c r="D24" s="5" t="n"/>
      <c r="E24" s="5" t="n"/>
      <c r="F24" s="5" t="n"/>
      <c r="G24" s="5" t="n"/>
    </row>
    <row r="25" ht="24" customHeight="1">
      <c r="A25" s="4" t="inlineStr">
        <is>
          <t>I/O·통신</t>
        </is>
      </c>
      <c r="B25" s="4" t="inlineStr">
        <is>
          <t>점별 기대동작 (QF-06-1)</t>
        </is>
      </c>
      <c r="C25" s="5" t="n"/>
      <c r="D25" s="5" t="n"/>
      <c r="E25" s="5" t="n"/>
      <c r="F25" s="5" t="n"/>
      <c r="G25" s="5" t="n"/>
    </row>
    <row r="26" ht="24" customHeight="1">
      <c r="A26" s="4" t="inlineStr">
        <is>
          <t>인터록·비상정지</t>
        </is>
      </c>
      <c r="B26" s="4" t="inlineStr">
        <is>
          <t>동작·정지·재시작 시나리오</t>
        </is>
      </c>
      <c r="C26" s="5" t="n"/>
      <c r="D26" s="5" t="n"/>
      <c r="E26" s="5" t="n"/>
      <c r="F26" s="5" t="n"/>
      <c r="G26" s="5" t="n"/>
    </row>
    <row r="27" ht="24" customHeight="1">
      <c r="A27" s="4" t="inlineStr">
        <is>
          <t>인버터·PLC</t>
        </is>
      </c>
      <c r="B27" s="4" t="inlineStr">
        <is>
          <t>파라미터·Ver·부하조건</t>
        </is>
      </c>
      <c r="C27" s="5" t="n"/>
      <c r="D27" s="5" t="n"/>
      <c r="E27" s="5" t="n"/>
      <c r="F27" s="5" t="n"/>
      <c r="G27" s="5" t="n"/>
    </row>
    <row r="28" ht="31.65" customHeight="1">
      <c r="A28" s="4" t="inlineStr">
        <is>
          <t>명판·표시</t>
        </is>
      </c>
      <c r="B28" s="4" t="inlineStr">
        <is>
          <t>정격·제조번호(판넬 LOT)·경고표시 내용</t>
        </is>
      </c>
      <c r="C28" s="5" t="n"/>
      <c r="D28" s="5" t="n"/>
      <c r="E28" s="5" t="n"/>
      <c r="F28" s="5" t="n"/>
      <c r="G28" s="5" t="n"/>
    </row>
    <row r="29" ht="31.65" customHeight="1">
      <c r="A29" s="4" t="inlineStr">
        <is>
          <t>입고 검사 기준</t>
        </is>
      </c>
      <c r="B29" s="4" t="inlineStr">
        <is>
          <t>주요품 전수 식별·샘플링·성적서 요구</t>
        </is>
      </c>
      <c r="C29" s="5" t="n"/>
      <c r="D29" s="5" t="n"/>
      <c r="E29" s="5" t="n"/>
      <c r="F29" s="5" t="n"/>
      <c r="G29" s="5" t="n"/>
    </row>
    <row r="30" ht="24" customHeight="1">
      <c r="A30" s="4" t="inlineStr">
        <is>
          <t>외함·포장</t>
        </is>
      </c>
      <c r="B30" s="4" t="inlineStr">
        <is>
          <t>치수·표면·접지·운송조건</t>
        </is>
      </c>
      <c r="C30" s="5" t="n"/>
      <c r="D30" s="5" t="n"/>
      <c r="E30" s="5" t="n"/>
      <c r="F30" s="5" t="n"/>
      <c r="G30" s="5" t="n"/>
    </row>
    <row r="31" ht="24" customHeight="1">
      <c r="A31" s="5" t="n"/>
      <c r="B31" s="5" t="n"/>
      <c r="C31" s="5" t="n"/>
      <c r="D31" s="5" t="n"/>
      <c r="E31" s="5" t="n"/>
      <c r="F31" s="5" t="n"/>
      <c r="G31" s="5" t="n"/>
    </row>
    <row r="32" ht="24" customHeight="1">
      <c r="A32" s="5" t="n"/>
      <c r="B32" s="5" t="n"/>
      <c r="C32" s="5" t="n"/>
      <c r="D32" s="5" t="n"/>
      <c r="E32" s="5" t="n"/>
      <c r="F32" s="5" t="n"/>
      <c r="G32" s="5" t="n"/>
    </row>
    <row r="33" ht="24" customHeight="1">
      <c r="A33" s="5" t="n"/>
      <c r="B33" s="5" t="n"/>
      <c r="C33" s="5" t="n"/>
      <c r="D33" s="5" t="n"/>
      <c r="E33" s="5" t="n"/>
      <c r="F33" s="5" t="n"/>
      <c r="G33" s="5" t="n"/>
    </row>
    <row r="34" ht="24" customHeight="1">
      <c r="A34" s="5" t="n"/>
      <c r="B34" s="5" t="n"/>
      <c r="C34" s="5" t="n"/>
      <c r="D34" s="5" t="n"/>
      <c r="E34" s="5" t="n"/>
      <c r="F34" s="5" t="n"/>
      <c r="G34" s="5" t="n"/>
    </row>
    <row r="35" ht="24" customHeight="1">
      <c r="A35" s="5" t="n"/>
      <c r="B35" s="5" t="n"/>
      <c r="C35" s="5" t="n"/>
      <c r="D35" s="5" t="n"/>
      <c r="E35" s="5" t="n"/>
      <c r="F35" s="5" t="n"/>
      <c r="G35" s="5" t="n"/>
    </row>
    <row r="36" ht="24" customHeight="1">
      <c r="A36" s="5" t="n"/>
      <c r="B36" s="5" t="n"/>
      <c r="C36" s="5" t="n"/>
      <c r="D36" s="5" t="n"/>
      <c r="E36" s="5" t="n"/>
      <c r="F36" s="5" t="n"/>
      <c r="G36" s="5" t="n"/>
    </row>
    <row r="37" ht="24" customHeight="1">
      <c r="A37" s="5" t="n"/>
      <c r="B37" s="5" t="n"/>
      <c r="C37" s="5" t="n"/>
      <c r="D37" s="5" t="n"/>
      <c r="E37" s="5" t="n"/>
      <c r="F37" s="5" t="n"/>
      <c r="G37" s="5" t="n"/>
    </row>
    <row r="38" ht="24" customHeight="1">
      <c r="A38" s="5" t="n"/>
      <c r="B38" s="5" t="n"/>
      <c r="C38" s="5" t="n"/>
      <c r="D38" s="5" t="n"/>
      <c r="E38" s="5" t="n"/>
      <c r="F38" s="5" t="n"/>
      <c r="G38" s="5" t="n"/>
    </row>
    <row r="39" ht="6" customHeight="1"/>
    <row r="40" ht="16" customHeight="1">
      <c r="A40" s="7" t="inlineStr">
        <is>
          <t>첨부·대체 기록 번호와 보관 경로 / 적용 제외(해당없음) 사유 / 미결 확인 :</t>
        </is>
      </c>
      <c r="B40" s="13" t="n"/>
      <c r="C40" s="13" t="n"/>
      <c r="D40" s="8" t="inlineStr">
        <is>
          <t>구분</t>
        </is>
      </c>
      <c r="E40" s="8" t="inlineStr">
        <is>
          <t>작성</t>
        </is>
      </c>
      <c r="F40" s="8" t="inlineStr">
        <is>
          <t>검토</t>
        </is>
      </c>
      <c r="G40" s="8" t="inlineStr">
        <is>
          <t>승인</t>
        </is>
      </c>
    </row>
    <row r="41" ht="28" customHeight="1">
      <c r="A41" s="13" t="n"/>
      <c r="B41" s="13" t="n"/>
      <c r="C41" s="13" t="n"/>
      <c r="D41" s="9" t="inlineStr">
        <is>
          <t>성명·서명</t>
        </is>
      </c>
      <c r="E41" s="10" t="n"/>
      <c r="F41" s="10" t="n"/>
      <c r="G41" s="10" t="n"/>
    </row>
    <row r="42" ht="16" customHeight="1">
      <c r="A42" s="13" t="n"/>
      <c r="B42" s="13" t="n"/>
      <c r="C42" s="13" t="n"/>
      <c r="D42" s="9" t="inlineStr">
        <is>
          <t>일자</t>
        </is>
      </c>
      <c r="E42" s="10" t="n"/>
      <c r="F42" s="10" t="n"/>
      <c r="G42" s="10" t="n"/>
    </row>
  </sheetData>
  <mergeCells count="11">
    <mergeCell ref="A40:C42"/>
    <mergeCell ref="A3:G3"/>
    <mergeCell ref="F5:G5"/>
    <mergeCell ref="A12:G12"/>
    <mergeCell ref="B8:G8"/>
    <mergeCell ref="A2:G2"/>
    <mergeCell ref="E9:G9"/>
    <mergeCell ref="B9:C9"/>
    <mergeCell ref="A11:G11"/>
    <mergeCell ref="B7:G7"/>
    <mergeCell ref="B6:G6"/>
  </mergeCells>
  <printOptions horizontalCentered="1"/>
  <pageMargins left="0.45" right="0.45" top="0.5" bottom="0.55" header="0.25" footer="0.25"/>
  <pageSetup orientation="landscape" paperSize="9" fitToHeight="0" fitToWidth="1"/>
  <headerFooter>
    <oddHeader/>
    <oddFooter>&amp;C&amp;"Malgun Gothic"&amp;8 동인엔시스 | DI-QF-15 Rev.00 | 페이지 &amp;P / 전체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outlinePr summaryBelow="1" summaryRight="1"/>
    <pageSetUpPr fitToPage="1"/>
  </sheetPr>
  <dimension ref="A2:I23"/>
  <sheetViews>
    <sheetView showGridLines="0" workbookViewId="0">
      <selection activeCell="A1" sqref="A1"/>
    </sheetView>
  </sheetViews>
  <sheetFormatPr baseColWidth="8" defaultRowHeight="15"/>
  <cols>
    <col width="14.2" customWidth="1" min="1" max="1"/>
    <col width="35" customWidth="1" min="2" max="2"/>
    <col width="12" customWidth="1" min="3" max="3"/>
    <col width="14.2" customWidth="1" min="4" max="4"/>
    <col width="9.800000000000001" customWidth="1" min="5" max="5"/>
    <col width="14.2" customWidth="1" min="6" max="6"/>
    <col width="15.3" customWidth="1" min="7" max="7"/>
    <col width="12" customWidth="1" min="8" max="8"/>
    <col width="13.1" customWidth="1" min="9" max="9"/>
  </cols>
  <sheetData>
    <row r="1" ht="22" customHeight="1"/>
    <row r="2" ht="28" customHeight="1">
      <c r="A2" s="1" t="inlineStr">
        <is>
          <t>판넬 공정 이동 및 작업 실적</t>
        </is>
      </c>
      <c r="B2" s="1" t="n"/>
      <c r="C2" s="1" t="n"/>
      <c r="D2" s="1" t="n"/>
      <c r="E2" s="1" t="n"/>
      <c r="F2" s="1" t="n"/>
      <c r="G2" s="1" t="n"/>
      <c r="H2" s="1" t="n"/>
      <c r="I2" s="1" t="n"/>
    </row>
    <row r="3" ht="16" customHeight="1">
      <c r="A3" s="2" t="inlineStr">
        <is>
          <t>동인엔시스 | DI-QF-16 | Rev.00 | 제정 2026.10.01 | 시행 2026.10.01 (대표 승인)   ·   담당: 생산관리 / 제조 | 작성: 판넬별 단계 완료 시</t>
        </is>
      </c>
      <c r="B3" s="2" t="n"/>
      <c r="C3" s="2" t="n"/>
      <c r="D3" s="2" t="n"/>
      <c r="E3" s="2" t="n"/>
      <c r="F3" s="2" t="n"/>
      <c r="G3" s="2" t="n"/>
      <c r="H3" s="2" t="n"/>
      <c r="I3" s="2" t="n"/>
    </row>
    <row r="4" ht="4" customHeight="1"/>
    <row r="5" ht="20" customHeight="1">
      <c r="A5" s="12" t="inlineStr">
        <is>
          <t>프로젝트 번호</t>
        </is>
      </c>
      <c r="B5" s="10" t="n"/>
      <c r="C5" s="12" t="inlineStr">
        <is>
          <t>판넬 번호(제조번호)</t>
        </is>
      </c>
      <c r="D5" s="12" t="n"/>
      <c r="E5" s="10" t="n"/>
      <c r="F5" s="10" t="n"/>
      <c r="G5" s="12" t="inlineStr">
        <is>
          <t>제조 수량</t>
        </is>
      </c>
      <c r="H5" s="10" t="n"/>
      <c r="I5" s="10" t="n"/>
    </row>
    <row r="6" ht="20" customHeight="1">
      <c r="A6" s="12" t="inlineStr">
        <is>
          <t>착수·완료 예정일</t>
        </is>
      </c>
      <c r="B6" s="10" t="n"/>
      <c r="C6" s="12" t="inlineStr">
        <is>
          <t>승인 도면 Rev / QF-15</t>
        </is>
      </c>
      <c r="D6" s="12" t="n"/>
      <c r="E6" s="10" t="n"/>
      <c r="F6" s="10" t="n"/>
      <c r="G6" s="12" t="inlineStr">
        <is>
          <t>생산관리 책임자</t>
        </is>
      </c>
      <c r="H6" s="10" t="n"/>
      <c r="I6" s="10" t="n"/>
    </row>
    <row r="7" ht="5" customHeight="1"/>
    <row r="8" ht="26.3" customHeight="1">
      <c r="A8" s="2" t="inlineStr">
        <is>
          <t>고객이 요구하는 LOT 작업일지·공정이동표는 판넬 LOT(제조번호)별로 이 양식으로 연결한다. 배선·시험 작업자와 실적을 추적하고 불합격은 다음 단계로 인계하지 않는다. 판넬에 부착해 이동시키거나 ERP 공정 실적으로 대체할 수 있다.</t>
        </is>
      </c>
      <c r="B8" s="2" t="n"/>
      <c r="C8" s="2" t="n"/>
      <c r="D8" s="2" t="n"/>
      <c r="E8" s="2" t="n"/>
      <c r="F8" s="2" t="n"/>
      <c r="G8" s="2" t="n"/>
      <c r="H8" s="2" t="n"/>
      <c r="I8" s="2" t="n"/>
    </row>
    <row r="9" ht="5" customHeight="1"/>
    <row r="10" ht="31.65" customHeight="1">
      <c r="A10" s="3" t="inlineStr">
        <is>
          <t>공정</t>
        </is>
      </c>
      <c r="B10" s="3" t="inlineStr">
        <is>
          <t>확인 기준</t>
        </is>
      </c>
      <c r="C10" s="3" t="inlineStr">
        <is>
          <t>일자·수량</t>
        </is>
      </c>
      <c r="D10" s="3" t="inlineStr">
        <is>
          <t>작업자·자격</t>
        </is>
      </c>
      <c r="E10" s="3" t="inlineStr">
        <is>
          <t>도면 Rev</t>
        </is>
      </c>
      <c r="F10" s="3" t="inlineStr">
        <is>
          <t>자재기록(QF-03)</t>
        </is>
      </c>
      <c r="G10" s="3" t="inlineStr">
        <is>
          <t>검사기록·판정</t>
        </is>
      </c>
      <c r="H10" s="3" t="inlineStr">
        <is>
          <t>인계확인</t>
        </is>
      </c>
      <c r="I10" s="3" t="inlineStr">
        <is>
          <t>변경·재작업</t>
        </is>
      </c>
    </row>
    <row r="11" ht="31.65" customHeight="1">
      <c r="A11" s="4" t="inlineStr">
        <is>
          <t>입고·불출</t>
        </is>
      </c>
      <c r="B11" s="4" t="inlineStr">
        <is>
          <t>QF-03 합격품만 불출 (부품은 LOT 없이 발주·입고번호로 연결)</t>
        </is>
      </c>
      <c r="C11" s="5" t="n"/>
      <c r="D11" s="5" t="n"/>
      <c r="E11" s="5" t="n"/>
      <c r="F11" s="5" t="n"/>
      <c r="G11" s="5" t="n"/>
      <c r="H11" s="5" t="n"/>
      <c r="I11" s="5" t="n"/>
    </row>
    <row r="12" ht="31.65" customHeight="1">
      <c r="A12" s="4" t="inlineStr">
        <is>
          <t>외함 준비·가공</t>
        </is>
      </c>
      <c r="B12" s="4" t="inlineStr">
        <is>
          <t>외함 입고검사 합격, 타공·가공 도면 일치, 버 제거·청소</t>
        </is>
      </c>
      <c r="C12" s="5" t="n"/>
      <c r="D12" s="5" t="n"/>
      <c r="E12" s="5" t="n"/>
      <c r="F12" s="5" t="n"/>
      <c r="G12" s="5" t="n"/>
      <c r="H12" s="5" t="n"/>
      <c r="I12" s="5" t="n"/>
    </row>
    <row r="13" ht="28" customHeight="1">
      <c r="A13" s="4" t="inlineStr">
        <is>
          <t>부품 취부</t>
        </is>
      </c>
      <c r="B13" s="4" t="inlineStr">
        <is>
          <t>BOM·배치도 일치, 고정 상태</t>
        </is>
      </c>
      <c r="C13" s="5" t="n"/>
      <c r="D13" s="5" t="n"/>
      <c r="E13" s="5" t="n"/>
      <c r="F13" s="5" t="n"/>
      <c r="G13" s="5" t="n"/>
      <c r="H13" s="5" t="n"/>
      <c r="I13" s="5" t="n"/>
    </row>
    <row r="14" ht="28" customHeight="1">
      <c r="A14" s="4" t="inlineStr">
        <is>
          <t>배선</t>
        </is>
      </c>
      <c r="B14" s="4" t="inlineStr">
        <is>
          <t>WI-01·최신 도면, QF-05 작업자 검사</t>
        </is>
      </c>
      <c r="C14" s="5" t="n"/>
      <c r="D14" s="5" t="n"/>
      <c r="E14" s="5" t="n"/>
      <c r="F14" s="5" t="n"/>
      <c r="G14" s="5" t="n"/>
      <c r="H14" s="5" t="n"/>
      <c r="I14" s="5" t="n"/>
    </row>
    <row r="15" ht="28" customHeight="1">
      <c r="A15" s="4" t="inlineStr">
        <is>
          <t>숙련자 배선 확인</t>
        </is>
      </c>
      <c r="B15" s="4" t="inlineStr">
        <is>
          <t>QF-05 숙련자 확인 합격 후 시험 인계</t>
        </is>
      </c>
      <c r="C15" s="5" t="n"/>
      <c r="D15" s="5" t="n"/>
      <c r="E15" s="5" t="n"/>
      <c r="F15" s="5" t="n"/>
      <c r="G15" s="5" t="n"/>
      <c r="H15" s="5" t="n"/>
      <c r="I15" s="5" t="n"/>
    </row>
    <row r="16" ht="28" customHeight="1">
      <c r="A16" s="4" t="inlineStr">
        <is>
          <t>자체시험·FAT</t>
        </is>
      </c>
      <c r="B16" s="4" t="inlineStr">
        <is>
          <t>QF-06 합격, SF-02</t>
        </is>
      </c>
      <c r="C16" s="5" t="n"/>
      <c r="D16" s="5" t="n"/>
      <c r="E16" s="5" t="n"/>
      <c r="F16" s="5" t="n"/>
      <c r="G16" s="5" t="n"/>
      <c r="H16" s="5" t="n"/>
      <c r="I16" s="5" t="n"/>
    </row>
    <row r="17" ht="57.3" customHeight="1">
      <c r="A17" s="4" t="inlineStr">
        <is>
          <t>포장·출하</t>
        </is>
      </c>
      <c r="B17" s="4" t="inlineStr">
        <is>
          <t>이물 제거·이동부 고정·단자/개구부 보호·방습·명판/취급표시·팔레트 고정·동봉물(도면·키·예비품), 중량·인양점 확인 → PF-00 출하 승인 → QF-04 출하 기록</t>
        </is>
      </c>
      <c r="C17" s="5" t="n"/>
      <c r="D17" s="5" t="n"/>
      <c r="E17" s="5" t="n"/>
      <c r="F17" s="5" t="n"/>
      <c r="G17" s="5" t="n"/>
      <c r="H17" s="5" t="n"/>
      <c r="I17" s="5" t="n"/>
    </row>
    <row r="18" ht="28" customHeight="1">
      <c r="A18" s="5" t="n"/>
      <c r="B18" s="5" t="n"/>
      <c r="C18" s="5" t="n"/>
      <c r="D18" s="5" t="n"/>
      <c r="E18" s="5" t="n"/>
      <c r="F18" s="5" t="n"/>
      <c r="G18" s="5" t="n"/>
      <c r="H18" s="5" t="n"/>
      <c r="I18" s="5" t="n"/>
    </row>
    <row r="19" ht="28" customHeight="1">
      <c r="A19" s="5" t="n"/>
      <c r="B19" s="5" t="n"/>
      <c r="C19" s="5" t="n"/>
      <c r="D19" s="5" t="n"/>
      <c r="E19" s="5" t="n"/>
      <c r="F19" s="5" t="n"/>
      <c r="G19" s="5" t="n"/>
      <c r="H19" s="5" t="n"/>
      <c r="I19" s="5" t="n"/>
    </row>
    <row r="20" ht="6" customHeight="1"/>
    <row r="21" ht="16" customHeight="1">
      <c r="A21" s="7" t="inlineStr">
        <is>
          <t>첨부·대체 기록 번호와 보관 경로 / 적용 제외(해당없음) 사유 / 미결 확인 :</t>
        </is>
      </c>
      <c r="B21" s="13" t="n"/>
      <c r="C21" s="13" t="n"/>
      <c r="D21" s="13" t="n"/>
      <c r="E21" s="13" t="n"/>
      <c r="F21" s="8" t="inlineStr">
        <is>
          <t>구분</t>
        </is>
      </c>
      <c r="G21" s="8" t="inlineStr">
        <is>
          <t>작성</t>
        </is>
      </c>
      <c r="H21" s="8" t="inlineStr">
        <is>
          <t>검토</t>
        </is>
      </c>
      <c r="I21" s="8" t="inlineStr">
        <is>
          <t>승인</t>
        </is>
      </c>
    </row>
    <row r="22" ht="28" customHeight="1">
      <c r="A22" s="13" t="n"/>
      <c r="B22" s="13" t="n"/>
      <c r="C22" s="13" t="n"/>
      <c r="D22" s="13" t="n"/>
      <c r="E22" s="13" t="n"/>
      <c r="F22" s="9" t="inlineStr">
        <is>
          <t>성명·서명</t>
        </is>
      </c>
      <c r="G22" s="10" t="n"/>
      <c r="H22" s="10" t="n"/>
      <c r="I22" s="10" t="n"/>
    </row>
    <row r="23" ht="16" customHeight="1">
      <c r="A23" s="13" t="n"/>
      <c r="B23" s="13" t="n"/>
      <c r="C23" s="13" t="n"/>
      <c r="D23" s="13" t="n"/>
      <c r="E23" s="13" t="n"/>
      <c r="F23" s="9" t="inlineStr">
        <is>
          <t>일자</t>
        </is>
      </c>
      <c r="G23" s="10" t="n"/>
      <c r="H23" s="10" t="n"/>
      <c r="I23" s="10" t="n"/>
    </row>
  </sheetData>
  <mergeCells count="10">
    <mergeCell ref="E6:F6"/>
    <mergeCell ref="A2:I2"/>
    <mergeCell ref="C6:D6"/>
    <mergeCell ref="H6:I6"/>
    <mergeCell ref="C5:D5"/>
    <mergeCell ref="E5:F5"/>
    <mergeCell ref="H5:I5"/>
    <mergeCell ref="A8:I8"/>
    <mergeCell ref="A3:I3"/>
    <mergeCell ref="A21:E23"/>
  </mergeCells>
  <printOptions horizontalCentered="1"/>
  <pageMargins left="0.45" right="0.45" top="0.5" bottom="0.55" header="0.25" footer="0.25"/>
  <pageSetup orientation="landscape" paperSize="9" fitToHeight="1" fitToWidth="1"/>
  <headerFooter>
    <oddHeader/>
    <oddFooter>&amp;C&amp;"Malgun Gothic"&amp;8 동인엔시스 | DI-QF-16 Rev.00 | 페이지 &amp;P / 전체 &amp;N</oddFooter>
    <evenHeader/>
    <evenFooter/>
    <firstHeader/>
    <firstFooter/>
  </headerFooter>
  <drawing xmlns:r="http://schemas.openxmlformats.org/officeDocument/2006/relationships" r:id="rId1"/>
</worksheet>
</file>

<file path=xl/worksheets/sheet22.xml><?xml version="1.0" encoding="utf-8"?>
<worksheet xmlns="http://schemas.openxmlformats.org/spreadsheetml/2006/main">
  <sheetPr>
    <outlinePr summaryBelow="1" summaryRight="1"/>
    <pageSetUpPr fitToPage="1"/>
  </sheetPr>
  <dimension ref="A2:M37"/>
  <sheetViews>
    <sheetView showGridLines="0" workbookViewId="0">
      <pane ySplit="13" topLeftCell="A14" activePane="bottomLeft" state="frozen"/>
      <selection pane="bottomLeft" activeCell="A1" sqref="A1"/>
    </sheetView>
  </sheetViews>
  <sheetFormatPr baseColWidth="8" defaultRowHeight="15"/>
  <cols>
    <col width="12.8" customWidth="1" min="1" max="1"/>
    <col width="21.4" customWidth="1" min="2" max="2"/>
    <col width="15" customWidth="1" min="3" max="3"/>
    <col width="5.3" customWidth="1" min="4" max="4"/>
    <col width="5.3" customWidth="1" min="5" max="5"/>
    <col width="6.4" customWidth="1" min="6" max="6"/>
    <col width="9.6" customWidth="1" min="7" max="7"/>
    <col width="21.4" customWidth="1" min="8" max="8"/>
    <col width="10.7" customWidth="1" min="9" max="9"/>
    <col width="5.3" customWidth="1" min="10" max="10"/>
    <col width="5.3" customWidth="1" min="11" max="11"/>
    <col width="6.4" customWidth="1" min="12" max="12"/>
    <col width="15" customWidth="1" min="13" max="13"/>
  </cols>
  <sheetData>
    <row r="1" ht="22" customHeight="1"/>
    <row r="2" ht="28" customHeight="1">
      <c r="A2" s="1" t="inlineStr">
        <is>
          <t>공정 위험성평가 및 감소조치</t>
        </is>
      </c>
      <c r="B2" s="1" t="n"/>
      <c r="C2" s="1" t="n"/>
      <c r="D2" s="1" t="n"/>
      <c r="E2" s="1" t="n"/>
      <c r="F2" s="1" t="n"/>
      <c r="G2" s="1" t="n"/>
      <c r="H2" s="1" t="n"/>
      <c r="I2" s="1" t="n"/>
      <c r="J2" s="1" t="n"/>
      <c r="K2" s="1" t="n"/>
      <c r="L2" s="1" t="n"/>
      <c r="M2" s="1" t="n"/>
    </row>
    <row r="3" ht="16" customHeight="1">
      <c r="A3" s="2" t="inlineStr">
        <is>
          <t>동인엔시스 | DI-SF-01 | Rev.00 | 제정 2026.10.01 | 시행 2026.10.01 (대표 승인)   ·   담당: 왕리홍 대리 / 현장 근로자 | 작성: 최초·연 1회·변경·사고/아차사고 시</t>
        </is>
      </c>
      <c r="B3" s="2" t="n"/>
      <c r="C3" s="2" t="n"/>
      <c r="D3" s="2" t="n"/>
      <c r="E3" s="2" t="n"/>
      <c r="F3" s="2" t="n"/>
      <c r="G3" s="2" t="n"/>
      <c r="H3" s="2" t="n"/>
      <c r="I3" s="2" t="n"/>
      <c r="J3" s="2" t="n"/>
      <c r="K3" s="2" t="n"/>
      <c r="L3" s="2" t="n"/>
      <c r="M3" s="2" t="n"/>
    </row>
    <row r="4" ht="4" customHeight="1"/>
    <row r="5" ht="20" customHeight="1">
      <c r="A5" s="12" t="inlineStr">
        <is>
          <t>평가일</t>
        </is>
      </c>
      <c r="B5" s="10" t="n"/>
      <c r="C5" s="10" t="n"/>
      <c r="D5" s="12" t="inlineStr">
        <is>
          <t>구분</t>
        </is>
      </c>
      <c r="E5" s="10" t="n"/>
      <c r="F5" s="10" t="n"/>
      <c r="G5" s="10" t="n"/>
      <c r="H5" s="10" t="n"/>
      <c r="I5" s="12" t="inlineStr">
        <is>
          <t>공정·범위</t>
        </is>
      </c>
      <c r="J5" s="10" t="n"/>
      <c r="K5" s="10" t="n"/>
      <c r="L5" s="10" t="n"/>
      <c r="M5" s="10" t="n"/>
    </row>
    <row r="6" ht="20" customHeight="1">
      <c r="A6" s="12" t="inlineStr">
        <is>
          <t>평가자</t>
        </is>
      </c>
      <c r="B6" s="10" t="n"/>
      <c r="C6" s="10" t="n"/>
      <c r="D6" s="10" t="n"/>
      <c r="E6" s="10" t="n"/>
      <c r="F6" s="10" t="n"/>
      <c r="G6" s="10" t="n"/>
      <c r="H6" s="10" t="n"/>
      <c r="I6" s="10" t="n"/>
      <c r="J6" s="10" t="n"/>
      <c r="K6" s="10" t="n"/>
      <c r="L6" s="10" t="n"/>
      <c r="M6" s="10" t="n"/>
    </row>
    <row r="7" ht="20" customHeight="1">
      <c r="A7" s="12" t="inlineStr">
        <is>
          <t>참여 근로자 (비정규직 포함·서명)</t>
        </is>
      </c>
      <c r="B7" s="12" t="n"/>
      <c r="C7" s="10" t="n"/>
      <c r="D7" s="10" t="n"/>
      <c r="E7" s="10" t="n"/>
      <c r="F7" s="10" t="n"/>
      <c r="G7" s="10" t="n"/>
      <c r="H7" s="10" t="n"/>
      <c r="I7" s="10" t="n"/>
      <c r="J7" s="10" t="n"/>
      <c r="K7" s="10" t="n"/>
      <c r="L7" s="10" t="n"/>
      <c r="M7" s="10" t="n"/>
    </row>
    <row r="8" ht="20" customHeight="1">
      <c r="A8" s="12" t="inlineStr">
        <is>
          <t>결과 공유 방법·일자 (작업 전 회의·게시)</t>
        </is>
      </c>
      <c r="B8" s="12" t="n"/>
      <c r="C8" s="10" t="n"/>
      <c r="D8" s="10" t="n"/>
      <c r="E8" s="10" t="n"/>
      <c r="F8" s="10" t="n"/>
      <c r="G8" s="10" t="n"/>
      <c r="H8" s="10" t="n"/>
      <c r="I8" s="10" t="n"/>
      <c r="J8" s="10" t="n"/>
      <c r="K8" s="10" t="n"/>
      <c r="L8" s="10" t="n"/>
      <c r="M8" s="10" t="n"/>
    </row>
    <row r="9" ht="5" customHeight="1"/>
    <row r="10" ht="26.3" customHeight="1">
      <c r="A10" s="2" t="inlineStr">
        <is>
          <t>위험도 = 가능성 P(1 희박 / 2 가능 / 3 빈번) × 중대성 S(1 경미 / 2 휴업부상 / 3 사망·영구장해). 1~2 유지, 3~4 기한부 개선·임시통제, 6~9 작업중지 후 개선(자동 표시). 법규 미충족·급박위험은 점수와 무관하게 중지한다.</t>
        </is>
      </c>
      <c r="B10" s="2" t="n"/>
      <c r="C10" s="2" t="n"/>
      <c r="D10" s="2" t="n"/>
      <c r="E10" s="2" t="n"/>
      <c r="F10" s="2" t="n"/>
      <c r="G10" s="2" t="n"/>
      <c r="H10" s="2" t="n"/>
      <c r="I10" s="2" t="n"/>
      <c r="J10" s="2" t="n"/>
      <c r="K10" s="2" t="n"/>
      <c r="L10" s="2" t="n"/>
      <c r="M10" s="2" t="n"/>
    </row>
    <row r="11" ht="26.3" customHeight="1">
      <c r="A11" s="2" t="inlineStr">
        <is>
          <t>대책은 제거 → 대체 → 공학적 통제 → 관리적 통제 → 보호구 순으로 검토한다. 조치 후 잔여 P·S를 재평가하고 책임자가 작업 재개를 승인한다. 수치 기준은 사내 관리기준이다. 아래 위험요인은 예시이며 실제 작업에 맞게 추가·삭제한다.</t>
        </is>
      </c>
      <c r="B11" s="2" t="n"/>
      <c r="C11" s="2" t="n"/>
      <c r="D11" s="2" t="n"/>
      <c r="E11" s="2" t="n"/>
      <c r="F11" s="2" t="n"/>
      <c r="G11" s="2" t="n"/>
      <c r="H11" s="2" t="n"/>
      <c r="I11" s="2" t="n"/>
      <c r="J11" s="2" t="n"/>
      <c r="K11" s="2" t="n"/>
      <c r="L11" s="2" t="n"/>
      <c r="M11" s="2" t="n"/>
    </row>
    <row r="12" ht="5" customHeight="1"/>
    <row r="13" ht="31.65" customHeight="1">
      <c r="A13" s="3" t="inlineStr">
        <is>
          <t>공정·작업</t>
        </is>
      </c>
      <c r="B13" s="3" t="inlineStr">
        <is>
          <t>위험요인</t>
        </is>
      </c>
      <c r="C13" s="3" t="inlineStr">
        <is>
          <t>현 조치</t>
        </is>
      </c>
      <c r="D13" s="3" t="inlineStr">
        <is>
          <t>P</t>
        </is>
      </c>
      <c r="E13" s="3" t="inlineStr">
        <is>
          <t>S</t>
        </is>
      </c>
      <c r="F13" s="3" t="inlineStr">
        <is>
          <t>위험도</t>
        </is>
      </c>
      <c r="G13" s="3" t="inlineStr">
        <is>
          <t>판정</t>
        </is>
      </c>
      <c r="H13" s="3" t="inlineStr">
        <is>
          <t>감소대책 (제거→대체→공학→관리→보호구)</t>
        </is>
      </c>
      <c r="I13" s="3" t="inlineStr">
        <is>
          <t>담당·기한</t>
        </is>
      </c>
      <c r="J13" s="3" t="inlineStr">
        <is>
          <t>잔여 P</t>
        </is>
      </c>
      <c r="K13" s="3" t="inlineStr">
        <is>
          <t>잔여 S</t>
        </is>
      </c>
      <c r="L13" s="3" t="inlineStr">
        <is>
          <t>잔여 위험도</t>
        </is>
      </c>
      <c r="M13" s="3" t="inlineStr">
        <is>
          <t>조치증거·재개 승인</t>
        </is>
      </c>
    </row>
    <row r="14" ht="31.65" customHeight="1">
      <c r="A14" s="4" t="inlineStr">
        <is>
          <t>입고·하역</t>
        </is>
      </c>
      <c r="B14" s="4" t="inlineStr">
        <is>
          <t>지게차·대차 운반 중 충돌·협착, 중량물 낙하</t>
        </is>
      </c>
      <c r="C14" s="5" t="n"/>
      <c r="D14" s="6" t="n"/>
      <c r="E14" s="6" t="n"/>
      <c r="F14" s="11">
        <f>IF(OR(D14="",E14=""),"",D14*E14)</f>
        <v/>
      </c>
      <c r="G14" s="11">
        <f>IF(F14="","",IF(F14&gt;=6,"중지·개선",IF(F14&gt;=3,"기한부 개선","유지")))</f>
        <v/>
      </c>
      <c r="H14" s="5" t="n"/>
      <c r="I14" s="5" t="n"/>
      <c r="J14" s="6" t="n"/>
      <c r="K14" s="6" t="n"/>
      <c r="L14" s="11">
        <f>IF(OR(J14="",K14=""),"",J14*K14)</f>
        <v/>
      </c>
      <c r="M14" s="5" t="n"/>
    </row>
    <row r="15" ht="31.65" customHeight="1">
      <c r="A15" s="4" t="inlineStr">
        <is>
          <t>판넬 인양·이동</t>
        </is>
      </c>
      <c r="B15" s="4" t="inlineStr">
        <is>
          <t>크레인·호이스트 인양 중 낙하·전도·협착</t>
        </is>
      </c>
      <c r="C15" s="5" t="n"/>
      <c r="D15" s="6" t="n"/>
      <c r="E15" s="6" t="n"/>
      <c r="F15" s="11">
        <f>IF(OR(D15="",E15=""),"",D15*E15)</f>
        <v/>
      </c>
      <c r="G15" s="11">
        <f>IF(F15="","",IF(F15&gt;=6,"중지·개선",IF(F15&gt;=3,"기한부 개선","유지")))</f>
        <v/>
      </c>
      <c r="H15" s="5" t="n"/>
      <c r="I15" s="5" t="n"/>
      <c r="J15" s="6" t="n"/>
      <c r="K15" s="6" t="n"/>
      <c r="L15" s="11">
        <f>IF(OR(J15="",K15=""),"",J15*K15)</f>
        <v/>
      </c>
      <c r="M15" s="5" t="n"/>
    </row>
    <row r="16" ht="31.65" customHeight="1">
      <c r="A16" s="4" t="inlineStr">
        <is>
          <t>외함 타공·가공</t>
        </is>
      </c>
      <c r="B16" s="4" t="inlineStr">
        <is>
          <t>드릴·홀소 회전부 말림, 칩 비산, 버에 베임</t>
        </is>
      </c>
      <c r="C16" s="5" t="n"/>
      <c r="D16" s="6" t="n"/>
      <c r="E16" s="6" t="n"/>
      <c r="F16" s="11">
        <f>IF(OR(D16="",E16=""),"",D16*E16)</f>
        <v/>
      </c>
      <c r="G16" s="11">
        <f>IF(F16="","",IF(F16&gt;=6,"중지·개선",IF(F16&gt;=3,"기한부 개선","유지")))</f>
        <v/>
      </c>
      <c r="H16" s="5" t="n"/>
      <c r="I16" s="5" t="n"/>
      <c r="J16" s="6" t="n"/>
      <c r="K16" s="6" t="n"/>
      <c r="L16" s="11">
        <f>IF(OR(J16="",K16=""),"",J16*K16)</f>
        <v/>
      </c>
      <c r="M16" s="5" t="n"/>
    </row>
    <row r="17" ht="31.65" customHeight="1">
      <c r="A17" s="4" t="inlineStr">
        <is>
          <t>부품 취부</t>
        </is>
      </c>
      <c r="B17" s="4" t="inlineStr">
        <is>
          <t>전동공구·모서리 베임, 무리한 자세</t>
        </is>
      </c>
      <c r="C17" s="5" t="n"/>
      <c r="D17" s="6" t="n"/>
      <c r="E17" s="6" t="n"/>
      <c r="F17" s="11">
        <f>IF(OR(D17="",E17=""),"",D17*E17)</f>
        <v/>
      </c>
      <c r="G17" s="11">
        <f>IF(F17="","",IF(F17&gt;=6,"중지·개선",IF(F17&gt;=3,"기한부 개선","유지")))</f>
        <v/>
      </c>
      <c r="H17" s="5" t="n"/>
      <c r="I17" s="5" t="n"/>
      <c r="J17" s="6" t="n"/>
      <c r="K17" s="6" t="n"/>
      <c r="L17" s="11">
        <f>IF(OR(J17="",K17=""),"",J17*K17)</f>
        <v/>
      </c>
      <c r="M17" s="5" t="n"/>
    </row>
    <row r="18" ht="44.475" customHeight="1">
      <c r="A18" s="4" t="inlineStr">
        <is>
          <t>배선</t>
        </is>
      </c>
      <c r="B18" s="4" t="inlineStr">
        <is>
          <t>탈피·압착공구 베임, 손목 반복동작, 장시간 서서 작업</t>
        </is>
      </c>
      <c r="C18" s="5" t="n"/>
      <c r="D18" s="6" t="n"/>
      <c r="E18" s="6" t="n"/>
      <c r="F18" s="11">
        <f>IF(OR(D18="",E18=""),"",D18*E18)</f>
        <v/>
      </c>
      <c r="G18" s="11">
        <f>IF(F18="","",IF(F18&gt;=6,"중지·개선",IF(F18&gt;=3,"기한부 개선","유지")))</f>
        <v/>
      </c>
      <c r="H18" s="5" t="n"/>
      <c r="I18" s="5" t="n"/>
      <c r="J18" s="6" t="n"/>
      <c r="K18" s="6" t="n"/>
      <c r="L18" s="11">
        <f>IF(OR(J18="",K18=""),"",J18*K18)</f>
        <v/>
      </c>
      <c r="M18" s="5" t="n"/>
    </row>
    <row r="19" ht="31.65" customHeight="1">
      <c r="A19" s="4" t="inlineStr">
        <is>
          <t>부스바 가공 (해당 시)</t>
        </is>
      </c>
      <c r="B19" s="4" t="inlineStr">
        <is>
          <t>절단·벤딩 협착, 중량물 취급</t>
        </is>
      </c>
      <c r="C19" s="5" t="n"/>
      <c r="D19" s="6" t="n"/>
      <c r="E19" s="6" t="n"/>
      <c r="F19" s="11">
        <f>IF(OR(D19="",E19=""),"",D19*E19)</f>
        <v/>
      </c>
      <c r="G19" s="11">
        <f>IF(F19="","",IF(F19&gt;=6,"중지·개선",IF(F19&gt;=3,"기한부 개선","유지")))</f>
        <v/>
      </c>
      <c r="H19" s="5" t="n"/>
      <c r="I19" s="5" t="n"/>
      <c r="J19" s="6" t="n"/>
      <c r="K19" s="6" t="n"/>
      <c r="L19" s="11">
        <f>IF(OR(J19="",K19=""),"",J19*K19)</f>
        <v/>
      </c>
      <c r="M19" s="5" t="n"/>
    </row>
    <row r="20" ht="31.65" customHeight="1">
      <c r="A20" s="4" t="inlineStr">
        <is>
          <t>열수축·납땜 (해당 시)</t>
        </is>
      </c>
      <c r="B20" s="4" t="inlineStr">
        <is>
          <t>히트건·인두 화상, 흄 흡입</t>
        </is>
      </c>
      <c r="C20" s="5" t="n"/>
      <c r="D20" s="6" t="n"/>
      <c r="E20" s="6" t="n"/>
      <c r="F20" s="11">
        <f>IF(OR(D20="",E20=""),"",D20*E20)</f>
        <v/>
      </c>
      <c r="G20" s="11">
        <f>IF(F20="","",IF(F20&gt;=6,"중지·개선",IF(F20&gt;=3,"기한부 개선","유지")))</f>
        <v/>
      </c>
      <c r="H20" s="5" t="n"/>
      <c r="I20" s="5" t="n"/>
      <c r="J20" s="6" t="n"/>
      <c r="K20" s="6" t="n"/>
      <c r="L20" s="11">
        <f>IF(OR(J20="",K20=""),"",J20*K20)</f>
        <v/>
      </c>
      <c r="M20" s="5" t="n"/>
    </row>
    <row r="21" ht="31.65" customHeight="1">
      <c r="A21" s="4" t="inlineStr">
        <is>
          <t>자체시험·FAT 통전</t>
        </is>
      </c>
      <c r="B21" s="4" t="inlineStr">
        <is>
          <t>감전·아크, 잔류전하, 시험구역 무단 접근</t>
        </is>
      </c>
      <c r="C21" s="5" t="n"/>
      <c r="D21" s="6" t="n"/>
      <c r="E21" s="6" t="n"/>
      <c r="F21" s="11">
        <f>IF(OR(D21="",E21=""),"",D21*E21)</f>
        <v/>
      </c>
      <c r="G21" s="11">
        <f>IF(F21="","",IF(F21&gt;=6,"중지·개선",IF(F21&gt;=3,"기한부 개선","유지")))</f>
        <v/>
      </c>
      <c r="H21" s="5" t="n"/>
      <c r="I21" s="5" t="n"/>
      <c r="J21" s="6" t="n"/>
      <c r="K21" s="6" t="n"/>
      <c r="L21" s="11">
        <f>IF(OR(J21="",K21=""),"",J21*K21)</f>
        <v/>
      </c>
      <c r="M21" s="5" t="n"/>
    </row>
    <row r="22" ht="31.65" customHeight="1">
      <c r="A22" s="4" t="inlineStr">
        <is>
          <t>절연·내전압 시험</t>
        </is>
      </c>
      <c r="B22" s="4" t="inlineStr">
        <is>
          <t>고전압 감전, 시험 후 잔류전하</t>
        </is>
      </c>
      <c r="C22" s="5" t="n"/>
      <c r="D22" s="6" t="n"/>
      <c r="E22" s="6" t="n"/>
      <c r="F22" s="11">
        <f>IF(OR(D22="",E22=""),"",D22*E22)</f>
        <v/>
      </c>
      <c r="G22" s="11">
        <f>IF(F22="","",IF(F22&gt;=6,"중지·개선",IF(F22&gt;=3,"기한부 개선","유지")))</f>
        <v/>
      </c>
      <c r="H22" s="5" t="n"/>
      <c r="I22" s="5" t="n"/>
      <c r="J22" s="6" t="n"/>
      <c r="K22" s="6" t="n"/>
      <c r="L22" s="11">
        <f>IF(OR(J22="",K22=""),"",J22*K22)</f>
        <v/>
      </c>
      <c r="M22" s="5" t="n"/>
    </row>
    <row r="23" ht="44.475" customHeight="1">
      <c r="A23" s="4" t="inlineStr">
        <is>
          <t>SAT 현장</t>
        </is>
      </c>
      <c r="B23" s="4" t="inlineStr">
        <is>
          <t>혼재작업, 회전기기 말림, 고소·추락, 고객 설비 오동작</t>
        </is>
      </c>
      <c r="C23" s="5" t="n"/>
      <c r="D23" s="6" t="n"/>
      <c r="E23" s="6" t="n"/>
      <c r="F23" s="11">
        <f>IF(OR(D23="",E23=""),"",D23*E23)</f>
        <v/>
      </c>
      <c r="G23" s="11">
        <f>IF(F23="","",IF(F23&gt;=6,"중지·개선",IF(F23&gt;=3,"기한부 개선","유지")))</f>
        <v/>
      </c>
      <c r="H23" s="5" t="n"/>
      <c r="I23" s="5" t="n"/>
      <c r="J23" s="6" t="n"/>
      <c r="K23" s="6" t="n"/>
      <c r="L23" s="11">
        <f>IF(OR(J23="",K23=""),"",J23*K23)</f>
        <v/>
      </c>
      <c r="M23" s="5" t="n"/>
    </row>
    <row r="24" ht="31.65" customHeight="1">
      <c r="A24" s="4" t="inlineStr">
        <is>
          <t>출장·이동</t>
        </is>
      </c>
      <c r="B24" s="4" t="inlineStr">
        <is>
          <t>차량 운전·현장 이동 중 교통사고</t>
        </is>
      </c>
      <c r="C24" s="5" t="n"/>
      <c r="D24" s="6" t="n"/>
      <c r="E24" s="6" t="n"/>
      <c r="F24" s="11">
        <f>IF(OR(D24="",E24=""),"",D24*E24)</f>
        <v/>
      </c>
      <c r="G24" s="11">
        <f>IF(F24="","",IF(F24&gt;=6,"중지·개선",IF(F24&gt;=3,"기한부 개선","유지")))</f>
        <v/>
      </c>
      <c r="H24" s="5" t="n"/>
      <c r="I24" s="5" t="n"/>
      <c r="J24" s="6" t="n"/>
      <c r="K24" s="6" t="n"/>
      <c r="L24" s="11">
        <f>IF(OR(J24="",K24=""),"",J24*K24)</f>
        <v/>
      </c>
      <c r="M24" s="5" t="n"/>
    </row>
    <row r="25" ht="31.65" customHeight="1">
      <c r="A25" s="4" t="inlineStr">
        <is>
          <t>설계·PLC 사무</t>
        </is>
      </c>
      <c r="B25" s="4" t="inlineStr">
        <is>
          <t>VDT 작업·근골격계, 장시간 작업</t>
        </is>
      </c>
      <c r="C25" s="5" t="n"/>
      <c r="D25" s="6" t="n"/>
      <c r="E25" s="6" t="n"/>
      <c r="F25" s="11">
        <f>IF(OR(D25="",E25=""),"",D25*E25)</f>
        <v/>
      </c>
      <c r="G25" s="11">
        <f>IF(F25="","",IF(F25&gt;=6,"중지·개선",IF(F25&gt;=3,"기한부 개선","유지")))</f>
        <v/>
      </c>
      <c r="H25" s="5" t="n"/>
      <c r="I25" s="5" t="n"/>
      <c r="J25" s="6" t="n"/>
      <c r="K25" s="6" t="n"/>
      <c r="L25" s="11">
        <f>IF(OR(J25="",K25=""),"",J25*K25)</f>
        <v/>
      </c>
      <c r="M25" s="5" t="n"/>
    </row>
    <row r="26" ht="31.65" customHeight="1">
      <c r="A26" s="4" t="inlineStr">
        <is>
          <t>화재·비상</t>
        </is>
      </c>
      <c r="B26" s="4" t="inlineStr">
        <is>
          <t>포장재·전기 화재, 소화기·대피로 확보</t>
        </is>
      </c>
      <c r="C26" s="5" t="n"/>
      <c r="D26" s="6" t="n"/>
      <c r="E26" s="6" t="n"/>
      <c r="F26" s="11">
        <f>IF(OR(D26="",E26=""),"",D26*E26)</f>
        <v/>
      </c>
      <c r="G26" s="11">
        <f>IF(F26="","",IF(F26&gt;=6,"중지·개선",IF(F26&gt;=3,"기한부 개선","유지")))</f>
        <v/>
      </c>
      <c r="H26" s="5" t="n"/>
      <c r="I26" s="5" t="n"/>
      <c r="J26" s="6" t="n"/>
      <c r="K26" s="6" t="n"/>
      <c r="L26" s="11">
        <f>IF(OR(J26="",K26=""),"",J26*K26)</f>
        <v/>
      </c>
      <c r="M26" s="5" t="n"/>
    </row>
    <row r="27" ht="26" customHeight="1">
      <c r="A27" s="5" t="n"/>
      <c r="B27" s="5" t="n"/>
      <c r="C27" s="5" t="n"/>
      <c r="D27" s="6" t="n"/>
      <c r="E27" s="6" t="n"/>
      <c r="F27" s="11">
        <f>IF(OR(D27="",E27=""),"",D27*E27)</f>
        <v/>
      </c>
      <c r="G27" s="11">
        <f>IF(F27="","",IF(F27&gt;=6,"중지·개선",IF(F27&gt;=3,"기한부 개선","유지")))</f>
        <v/>
      </c>
      <c r="H27" s="5" t="n"/>
      <c r="I27" s="5" t="n"/>
      <c r="J27" s="6" t="n"/>
      <c r="K27" s="6" t="n"/>
      <c r="L27" s="11">
        <f>IF(OR(J27="",K27=""),"",J27*K27)</f>
        <v/>
      </c>
      <c r="M27" s="5" t="n"/>
    </row>
    <row r="28" ht="26" customHeight="1">
      <c r="A28" s="5" t="n"/>
      <c r="B28" s="5" t="n"/>
      <c r="C28" s="5" t="n"/>
      <c r="D28" s="6" t="n"/>
      <c r="E28" s="6" t="n"/>
      <c r="F28" s="11">
        <f>IF(OR(D28="",E28=""),"",D28*E28)</f>
        <v/>
      </c>
      <c r="G28" s="11">
        <f>IF(F28="","",IF(F28&gt;=6,"중지·개선",IF(F28&gt;=3,"기한부 개선","유지")))</f>
        <v/>
      </c>
      <c r="H28" s="5" t="n"/>
      <c r="I28" s="5" t="n"/>
      <c r="J28" s="6" t="n"/>
      <c r="K28" s="6" t="n"/>
      <c r="L28" s="11">
        <f>IF(OR(J28="",K28=""),"",J28*K28)</f>
        <v/>
      </c>
      <c r="M28" s="5" t="n"/>
    </row>
    <row r="29" ht="26" customHeight="1">
      <c r="A29" s="5" t="n"/>
      <c r="B29" s="5" t="n"/>
      <c r="C29" s="5" t="n"/>
      <c r="D29" s="6" t="n"/>
      <c r="E29" s="6" t="n"/>
      <c r="F29" s="11">
        <f>IF(OR(D29="",E29=""),"",D29*E29)</f>
        <v/>
      </c>
      <c r="G29" s="11">
        <f>IF(F29="","",IF(F29&gt;=6,"중지·개선",IF(F29&gt;=3,"기한부 개선","유지")))</f>
        <v/>
      </c>
      <c r="H29" s="5" t="n"/>
      <c r="I29" s="5" t="n"/>
      <c r="J29" s="6" t="n"/>
      <c r="K29" s="6" t="n"/>
      <c r="L29" s="11">
        <f>IF(OR(J29="",K29=""),"",J29*K29)</f>
        <v/>
      </c>
      <c r="M29" s="5" t="n"/>
    </row>
    <row r="30" ht="26" customHeight="1">
      <c r="A30" s="5" t="n"/>
      <c r="B30" s="5" t="n"/>
      <c r="C30" s="5" t="n"/>
      <c r="D30" s="6" t="n"/>
      <c r="E30" s="6" t="n"/>
      <c r="F30" s="11">
        <f>IF(OR(D30="",E30=""),"",D30*E30)</f>
        <v/>
      </c>
      <c r="G30" s="11">
        <f>IF(F30="","",IF(F30&gt;=6,"중지·개선",IF(F30&gt;=3,"기한부 개선","유지")))</f>
        <v/>
      </c>
      <c r="H30" s="5" t="n"/>
      <c r="I30" s="5" t="n"/>
      <c r="J30" s="6" t="n"/>
      <c r="K30" s="6" t="n"/>
      <c r="L30" s="11">
        <f>IF(OR(J30="",K30=""),"",J30*K30)</f>
        <v/>
      </c>
      <c r="M30" s="5" t="n"/>
    </row>
    <row r="31" ht="26" customHeight="1">
      <c r="A31" s="5" t="n"/>
      <c r="B31" s="5" t="n"/>
      <c r="C31" s="5" t="n"/>
      <c r="D31" s="6" t="n"/>
      <c r="E31" s="6" t="n"/>
      <c r="F31" s="11">
        <f>IF(OR(D31="",E31=""),"",D31*E31)</f>
        <v/>
      </c>
      <c r="G31" s="11">
        <f>IF(F31="","",IF(F31&gt;=6,"중지·개선",IF(F31&gt;=3,"기한부 개선","유지")))</f>
        <v/>
      </c>
      <c r="H31" s="5" t="n"/>
      <c r="I31" s="5" t="n"/>
      <c r="J31" s="6" t="n"/>
      <c r="K31" s="6" t="n"/>
      <c r="L31" s="11">
        <f>IF(OR(J31="",K31=""),"",J31*K31)</f>
        <v/>
      </c>
      <c r="M31" s="5" t="n"/>
    </row>
    <row r="32" ht="26" customHeight="1">
      <c r="A32" s="5" t="n"/>
      <c r="B32" s="5" t="n"/>
      <c r="C32" s="5" t="n"/>
      <c r="D32" s="6" t="n"/>
      <c r="E32" s="6" t="n"/>
      <c r="F32" s="11">
        <f>IF(OR(D32="",E32=""),"",D32*E32)</f>
        <v/>
      </c>
      <c r="G32" s="11">
        <f>IF(F32="","",IF(F32&gt;=6,"중지·개선",IF(F32&gt;=3,"기한부 개선","유지")))</f>
        <v/>
      </c>
      <c r="H32" s="5" t="n"/>
      <c r="I32" s="5" t="n"/>
      <c r="J32" s="6" t="n"/>
      <c r="K32" s="6" t="n"/>
      <c r="L32" s="11">
        <f>IF(OR(J32="",K32=""),"",J32*K32)</f>
        <v/>
      </c>
      <c r="M32" s="5" t="n"/>
    </row>
    <row r="33" ht="26" customHeight="1">
      <c r="A33" s="5" t="n"/>
      <c r="B33" s="5" t="n"/>
      <c r="C33" s="5" t="n"/>
      <c r="D33" s="6" t="n"/>
      <c r="E33" s="6" t="n"/>
      <c r="F33" s="11">
        <f>IF(OR(D33="",E33=""),"",D33*E33)</f>
        <v/>
      </c>
      <c r="G33" s="11">
        <f>IF(F33="","",IF(F33&gt;=6,"중지·개선",IF(F33&gt;=3,"기한부 개선","유지")))</f>
        <v/>
      </c>
      <c r="H33" s="5" t="n"/>
      <c r="I33" s="5" t="n"/>
      <c r="J33" s="6" t="n"/>
      <c r="K33" s="6" t="n"/>
      <c r="L33" s="11">
        <f>IF(OR(J33="",K33=""),"",J33*K33)</f>
        <v/>
      </c>
      <c r="M33" s="5" t="n"/>
    </row>
    <row r="34" ht="6" customHeight="1"/>
    <row r="35" ht="16" customHeight="1">
      <c r="A35" s="7" t="inlineStr">
        <is>
          <t>첨부·대체 기록 번호와 보관 경로 / 적용 제외(해당없음) 사유 / 미결 확인 :</t>
        </is>
      </c>
      <c r="B35" s="13" t="n"/>
      <c r="C35" s="13" t="n"/>
      <c r="D35" s="13" t="n"/>
      <c r="E35" s="13" t="n"/>
      <c r="F35" s="13" t="n"/>
      <c r="G35" s="13" t="n"/>
      <c r="H35" s="8" t="inlineStr">
        <is>
          <t>구분</t>
        </is>
      </c>
      <c r="I35" s="8" t="inlineStr">
        <is>
          <t>작성</t>
        </is>
      </c>
      <c r="J35" s="8" t="n"/>
      <c r="K35" s="8" t="inlineStr">
        <is>
          <t>검토</t>
        </is>
      </c>
      <c r="L35" s="8" t="n"/>
      <c r="M35" s="8" t="inlineStr">
        <is>
          <t>승인</t>
        </is>
      </c>
    </row>
    <row r="36" ht="28" customHeight="1">
      <c r="A36" s="13" t="n"/>
      <c r="B36" s="13" t="n"/>
      <c r="C36" s="13" t="n"/>
      <c r="D36" s="13" t="n"/>
      <c r="E36" s="13" t="n"/>
      <c r="F36" s="13" t="n"/>
      <c r="G36" s="13" t="n"/>
      <c r="H36" s="9" t="inlineStr">
        <is>
          <t>성명·서명</t>
        </is>
      </c>
      <c r="I36" s="10" t="n"/>
      <c r="J36" s="10" t="n"/>
      <c r="K36" s="10" t="n"/>
      <c r="L36" s="10" t="n"/>
      <c r="M36" s="10" t="n"/>
    </row>
    <row r="37" ht="16" customHeight="1">
      <c r="A37" s="13" t="n"/>
      <c r="B37" s="13" t="n"/>
      <c r="C37" s="13" t="n"/>
      <c r="D37" s="13" t="n"/>
      <c r="E37" s="13" t="n"/>
      <c r="F37" s="13" t="n"/>
      <c r="G37" s="13" t="n"/>
      <c r="H37" s="9" t="inlineStr">
        <is>
          <t>일자</t>
        </is>
      </c>
      <c r="I37" s="10" t="n"/>
      <c r="J37" s="10" t="n"/>
      <c r="K37" s="10" t="n"/>
      <c r="L37" s="10" t="n"/>
      <c r="M37" s="10" t="n"/>
    </row>
  </sheetData>
  <mergeCells count="19">
    <mergeCell ref="I36:J36"/>
    <mergeCell ref="K36:L36"/>
    <mergeCell ref="A10:M10"/>
    <mergeCell ref="K35:L35"/>
    <mergeCell ref="A35:G37"/>
    <mergeCell ref="A7:B7"/>
    <mergeCell ref="I37:J37"/>
    <mergeCell ref="J5:M5"/>
    <mergeCell ref="A11:M11"/>
    <mergeCell ref="E5:H5"/>
    <mergeCell ref="B6:M6"/>
    <mergeCell ref="A8:B8"/>
    <mergeCell ref="C8:M8"/>
    <mergeCell ref="I35:J35"/>
    <mergeCell ref="B5:C5"/>
    <mergeCell ref="C7:M7"/>
    <mergeCell ref="A3:M3"/>
    <mergeCell ref="K37:L37"/>
    <mergeCell ref="A2:M2"/>
  </mergeCells>
  <conditionalFormatting sqref="D14:D33">
    <cfRule type="expression" priority="1" dxfId="0">
      <formula>OR(D14="불합격",D14="보류",D14="부적합",D14="미흡",D14="미준수",D14="미확인",D14="실패",D14="사용금지",D14="중지·개선",D14="재교육·동행",D14="C 발주중지",D14="중요")</formula>
    </cfRule>
  </conditionalFormatting>
  <conditionalFormatting sqref="E14:E33">
    <cfRule type="expression" priority="2" dxfId="0">
      <formula>OR(E14="불합격",E14="보류",E14="부적합",E14="미흡",E14="미준수",E14="미확인",E14="실패",E14="사용금지",E14="중지·개선",E14="재교육·동행",E14="C 발주중지",E14="중요")</formula>
    </cfRule>
  </conditionalFormatting>
  <conditionalFormatting sqref="J14:J33">
    <cfRule type="expression" priority="3" dxfId="0">
      <formula>OR(J14="불합격",J14="보류",J14="부적합",J14="미흡",J14="미준수",J14="미확인",J14="실패",J14="사용금지",J14="중지·개선",J14="재교육·동행",J14="C 발주중지",J14="중요")</formula>
    </cfRule>
  </conditionalFormatting>
  <conditionalFormatting sqref="K14:K33">
    <cfRule type="expression" priority="4" dxfId="0">
      <formula>OR(K14="불합격",K14="보류",K14="부적합",K14="미흡",K14="미준수",K14="미확인",K14="실패",K14="사용금지",K14="중지·개선",K14="재교육·동행",K14="C 발주중지",K14="중요")</formula>
    </cfRule>
  </conditionalFormatting>
  <conditionalFormatting sqref="F14:F33">
    <cfRule type="expression" priority="5" dxfId="0">
      <formula>OR(F14="불합격",F14="보류",F14="부적합",F14="미흡",F14="미준수",F14="미확인",F14="실패",F14="사용금지",F14="중지·개선",F14="재교육·동행",F14="C 발주중지",F14="중요")</formula>
    </cfRule>
    <cfRule type="expression" priority="8" dxfId="0">
      <formula>AND(ISNUMBER(F14),F14&gt;=6)</formula>
    </cfRule>
    <cfRule type="expression" priority="9" dxfId="1">
      <formula>AND(ISNUMBER(F14),F14&gt;=3)</formula>
    </cfRule>
  </conditionalFormatting>
  <conditionalFormatting sqref="G14:G33">
    <cfRule type="expression" priority="6" dxfId="0">
      <formula>OR(G14="불합격",G14="보류",G14="부적합",G14="미흡",G14="미준수",G14="미확인",G14="실패",G14="사용금지",G14="중지·개선",G14="재교육·동행",G14="C 발주중지",G14="중요")</formula>
    </cfRule>
  </conditionalFormatting>
  <conditionalFormatting sqref="L14:L33">
    <cfRule type="expression" priority="7" dxfId="0">
      <formula>OR(L14="불합격",L14="보류",L14="부적합",L14="미흡",L14="미준수",L14="미확인",L14="실패",L14="사용금지",L14="중지·개선",L14="재교육·동행",L14="C 발주중지",L14="중요")</formula>
    </cfRule>
    <cfRule type="expression" priority="10" dxfId="0">
      <formula>AND(ISNUMBER(L14),L14&gt;=6)</formula>
    </cfRule>
    <cfRule type="expression" priority="11" dxfId="1">
      <formula>AND(ISNUMBER(L14),L14&gt;=3)</formula>
    </cfRule>
  </conditionalFormatting>
  <dataValidations count="5">
    <dataValidation sqref="E5" showDropDown="0" showInputMessage="0" showErrorMessage="0" allowBlank="1" error="목록에서 고르십시오: 최초, 정기(연 1회), 수시(변경), 수시(사고·아차사고)" type="list" errorStyle="warning">
      <formula1>"최초,정기(연 1회),수시(변경),수시(사고·아차사고)"</formula1>
    </dataValidation>
    <dataValidation sqref="D14:D33" showDropDown="0" showInputMessage="0" showErrorMessage="0" allowBlank="1" error="1~3 사이 정수를 입력하십시오." type="whole" operator="between">
      <formula1>1</formula1>
      <formula2>3</formula2>
    </dataValidation>
    <dataValidation sqref="E14:E33" showDropDown="0" showInputMessage="0" showErrorMessage="0" allowBlank="1" error="1~3 사이 정수를 입력하십시오." type="whole" operator="between">
      <formula1>1</formula1>
      <formula2>3</formula2>
    </dataValidation>
    <dataValidation sqref="J14:J33" showDropDown="0" showInputMessage="0" showErrorMessage="0" allowBlank="1" error="1~3 사이 정수를 입력하십시오." type="whole" operator="between">
      <formula1>1</formula1>
      <formula2>3</formula2>
    </dataValidation>
    <dataValidation sqref="K14:K33" showDropDown="0" showInputMessage="0" showErrorMessage="0" allowBlank="1" error="1~3 사이 정수를 입력하십시오." type="whole" operator="between">
      <formula1>1</formula1>
      <formula2>3</formula2>
    </dataValidation>
  </dataValidations>
  <printOptions horizontalCentered="1"/>
  <pageMargins left="0.45" right="0.45" top="0.5" bottom="0.55" header="0.25" footer="0.25"/>
  <pageSetup orientation="landscape" paperSize="9" fitToHeight="0" fitToWidth="1"/>
  <headerFooter>
    <oddHeader/>
    <oddFooter>&amp;C&amp;"Malgun Gothic"&amp;8 동인엔시스 | DI-SF-01 Rev.00 | 페이지 &amp;P / 전체 &amp;N</oddFooter>
    <evenHeader/>
    <evenFooter/>
    <firstHeader/>
    <firstFooter/>
  </headerFooter>
  <drawing xmlns:r="http://schemas.openxmlformats.org/officeDocument/2006/relationships" r:id="rId1"/>
</worksheet>
</file>

<file path=xl/worksheets/sheet23.xml><?xml version="1.0" encoding="utf-8"?>
<worksheet xmlns="http://schemas.openxmlformats.org/spreadsheetml/2006/main">
  <sheetPr>
    <outlinePr summaryBelow="1" summaryRight="1"/>
    <pageSetUpPr fitToPage="1"/>
  </sheetPr>
  <dimension ref="A2:E29"/>
  <sheetViews>
    <sheetView showGridLines="0" workbookViewId="0">
      <selection activeCell="A1" sqref="A1"/>
    </sheetView>
  </sheetViews>
  <sheetFormatPr baseColWidth="8" defaultRowHeight="15"/>
  <cols>
    <col width="13.3" customWidth="1" min="1" max="1"/>
    <col width="36.8" customWidth="1" min="2" max="2"/>
    <col width="10.2" customWidth="1" min="3" max="3"/>
    <col width="16.3" customWidth="1" min="4" max="4"/>
    <col width="18.4" customWidth="1" min="5" max="5"/>
  </cols>
  <sheetData>
    <row r="1" ht="22" customHeight="1"/>
    <row r="2" ht="28" customHeight="1">
      <c r="A2" s="1" t="inlineStr">
        <is>
          <t>시험 통전 및 정전 작업 안전 확인</t>
        </is>
      </c>
      <c r="B2" s="1" t="n"/>
      <c r="C2" s="1" t="n"/>
      <c r="D2" s="1" t="n"/>
      <c r="E2" s="1" t="n"/>
    </row>
    <row r="3" ht="26.3" customHeight="1">
      <c r="A3" s="2" t="inlineStr">
        <is>
          <t>동인엔시스 | DI-SF-02 | Rev.00 | 제정 2026.10.01 | 시행 2026.10.01 (대표 승인)   ·   담당: 작업 책임자 / 왕리홍 대리 | 작성: FAT/SAT 작업 시작·전원상태 변경·종료 시</t>
        </is>
      </c>
      <c r="B3" s="2" t="n"/>
      <c r="C3" s="2" t="n"/>
      <c r="D3" s="2" t="n"/>
      <c r="E3" s="2" t="n"/>
    </row>
    <row r="4" ht="4" customHeight="1"/>
    <row r="5" ht="20" customHeight="1">
      <c r="A5" s="12" t="inlineStr">
        <is>
          <t>프로젝트 번호</t>
        </is>
      </c>
      <c r="B5" s="10" t="n"/>
      <c r="C5" s="12" t="inlineStr">
        <is>
          <t>현장</t>
        </is>
      </c>
      <c r="D5" s="10" t="n"/>
      <c r="E5" s="10" t="n"/>
    </row>
    <row r="6" ht="20" customHeight="1">
      <c r="A6" s="12" t="inlineStr">
        <is>
          <t>작업일</t>
        </is>
      </c>
      <c r="B6" s="10" t="n"/>
      <c r="C6" s="10" t="n"/>
      <c r="D6" s="12" t="inlineStr">
        <is>
          <t>판넬·전원 범위</t>
        </is>
      </c>
      <c r="E6" s="10" t="n"/>
    </row>
    <row r="7" ht="20" customHeight="1">
      <c r="A7" s="12" t="inlineStr">
        <is>
          <t>작업책임자</t>
        </is>
      </c>
      <c r="B7" s="10" t="n"/>
      <c r="C7" s="12" t="inlineStr">
        <is>
          <t>시험자</t>
        </is>
      </c>
      <c r="D7" s="10" t="n"/>
      <c r="E7" s="10" t="n"/>
    </row>
    <row r="8" ht="20" customHeight="1">
      <c r="A8" s="12" t="inlineStr">
        <is>
          <t>감시자</t>
        </is>
      </c>
      <c r="B8" s="10" t="n"/>
      <c r="C8" s="10" t="n"/>
      <c r="D8" s="12" t="inlineStr">
        <is>
          <t>위험성평가 번호</t>
        </is>
      </c>
      <c r="E8" s="10" t="n"/>
    </row>
    <row r="9" ht="20" customHeight="1">
      <c r="A9" s="12" t="inlineStr">
        <is>
          <t>작업모드</t>
        </is>
      </c>
      <c r="B9" s="10" t="n"/>
      <c r="C9" s="10" t="n"/>
      <c r="D9" s="12" t="inlineStr">
        <is>
          <t>허가·현장요구</t>
        </is>
      </c>
      <c r="E9" s="10" t="n"/>
    </row>
    <row r="10" ht="28.3" customHeight="1">
      <c r="A10" s="12" t="inlineStr">
        <is>
          <t>통전 승인자·시각</t>
        </is>
      </c>
      <c r="B10" s="10" t="n"/>
      <c r="C10" s="12" t="inlineStr">
        <is>
          <t>종료 확인자·시각</t>
        </is>
      </c>
      <c r="D10" s="12" t="n"/>
      <c r="E10" s="10" t="n"/>
    </row>
    <row r="11" ht="5" customHeight="1"/>
    <row r="12" ht="26.3" customHeight="1">
      <c r="A12" s="2" t="inlineStr">
        <is>
          <t>정전 작업(LOTO)과 의도적 통전시험을 구분한다. 급박위험은 즉시 중지한다. 통전 중 배선·수정은 금지하고 재정전·잔류전하 확인 후 실시한다. 전원 상태가 바뀔 때마다 해당 행을 기록한다(행 추가 가능).</t>
        </is>
      </c>
      <c r="B12" s="2" t="n"/>
      <c r="C12" s="2" t="n"/>
      <c r="D12" s="2" t="n"/>
      <c r="E12" s="2" t="n"/>
    </row>
    <row r="13" ht="5" customHeight="1"/>
    <row r="14" ht="26" customHeight="1">
      <c r="A14" s="3" t="inlineStr">
        <is>
          <t>시점·항목</t>
        </is>
      </c>
      <c r="B14" s="3" t="inlineStr">
        <is>
          <t>확인기준</t>
        </is>
      </c>
      <c r="C14" s="3" t="inlineStr">
        <is>
          <t>결과</t>
        </is>
      </c>
      <c r="D14" s="3" t="inlineStr">
        <is>
          <t>확인자·시각</t>
        </is>
      </c>
      <c r="E14" s="3" t="inlineStr">
        <is>
          <t>미흡·조치</t>
        </is>
      </c>
    </row>
    <row r="15" ht="31.65" customHeight="1">
      <c r="A15" s="4" t="inlineStr">
        <is>
          <t>정전</t>
        </is>
      </c>
      <c r="B15" s="4" t="inlineStr">
        <is>
          <t>전원·역급전 식별 → 차단 → 개별 잠금/표지 → 잔류에너지 방전 → 무전압 확인</t>
        </is>
      </c>
      <c r="C15" s="6" t="n"/>
      <c r="D15" s="5" t="n"/>
      <c r="E15" s="5" t="n"/>
    </row>
    <row r="16" ht="31.65" customHeight="1">
      <c r="A16" s="4" t="inlineStr">
        <is>
          <t>작업전</t>
        </is>
      </c>
      <c r="B16" s="4" t="inlineStr">
        <is>
          <t>QF-15 시험조건·전자부품 보호·접지·시험기 유효(QF-11) 확인</t>
        </is>
      </c>
      <c r="C16" s="6" t="n"/>
      <c r="D16" s="5" t="n"/>
      <c r="E16" s="5" t="n"/>
    </row>
    <row r="17" ht="31.65" customHeight="1">
      <c r="A17" s="4" t="inlineStr">
        <is>
          <t>통전준비</t>
        </is>
      </c>
      <c r="B17" s="4" t="inlineStr">
        <is>
          <t>작업자 철수·도어/가드·출입통제·감시자·보호구·비상차단 확인</t>
        </is>
      </c>
      <c r="C17" s="6" t="n"/>
      <c r="D17" s="5" t="n"/>
      <c r="E17" s="5" t="n"/>
    </row>
    <row r="18" ht="30" customHeight="1">
      <c r="A18" s="4" t="inlineStr">
        <is>
          <t>통전승인</t>
        </is>
      </c>
      <c r="B18" s="4" t="inlineStr">
        <is>
          <t>책임자 승인 후 통제된 잠금 해제·시험전원 인가</t>
        </is>
      </c>
      <c r="C18" s="6" t="n"/>
      <c r="D18" s="5" t="n"/>
      <c r="E18" s="5" t="n"/>
    </row>
    <row r="19" ht="30" customHeight="1">
      <c r="A19" s="4" t="inlineStr">
        <is>
          <t>수정전</t>
        </is>
      </c>
      <c r="B19" s="4" t="inlineStr">
        <is>
          <t>차단·잠금·잔류전하·무전압 재확인</t>
        </is>
      </c>
      <c r="C19" s="6" t="n"/>
      <c r="D19" s="5" t="n"/>
      <c r="E19" s="5" t="n"/>
    </row>
    <row r="20" ht="30" customHeight="1">
      <c r="A20" s="4" t="inlineStr">
        <is>
          <t>재통전</t>
        </is>
      </c>
      <c r="B20" s="4" t="inlineStr">
        <is>
          <t>통전준비·통전승인 항목 재확인</t>
        </is>
      </c>
      <c r="C20" s="6" t="n"/>
      <c r="D20" s="5" t="n"/>
      <c r="E20" s="5" t="n"/>
    </row>
    <row r="21" ht="31.65" customHeight="1">
      <c r="A21" s="4" t="inlineStr">
        <is>
          <t>종료</t>
        </is>
      </c>
      <c r="B21" s="4" t="inlineStr">
        <is>
          <t>정전·복구·잔류에너지·이물·비상차단·작업자 철수 확인</t>
        </is>
      </c>
      <c r="C21" s="6" t="n"/>
      <c r="D21" s="5" t="n"/>
      <c r="E21" s="5" t="n"/>
    </row>
    <row r="22" ht="30" customHeight="1">
      <c r="A22" s="5" t="n"/>
      <c r="B22" s="5" t="n"/>
      <c r="C22" s="6" t="n"/>
      <c r="D22" s="5" t="n"/>
      <c r="E22" s="5" t="n"/>
    </row>
    <row r="23" ht="30" customHeight="1">
      <c r="A23" s="5" t="n"/>
      <c r="B23" s="5" t="n"/>
      <c r="C23" s="6" t="n"/>
      <c r="D23" s="5" t="n"/>
      <c r="E23" s="5" t="n"/>
    </row>
    <row r="24" ht="30" customHeight="1">
      <c r="A24" s="5" t="n"/>
      <c r="B24" s="5" t="n"/>
      <c r="C24" s="6" t="n"/>
      <c r="D24" s="5" t="n"/>
      <c r="E24" s="5" t="n"/>
    </row>
    <row r="25" ht="6" customHeight="1"/>
    <row r="26" ht="30" customHeight="1">
      <c r="A26" s="7" t="inlineStr">
        <is>
          <t>첨부·대체 기록 번호와 보관 경로 / 적용 제외(해당없음) 사유 / 미결 확인 :</t>
        </is>
      </c>
      <c r="B26" s="7" t="n"/>
      <c r="C26" s="7" t="n"/>
      <c r="D26" s="7" t="n"/>
      <c r="E26" s="7" t="n"/>
    </row>
    <row r="27" ht="16" customHeight="1">
      <c r="A27" s="8" t="inlineStr">
        <is>
          <t>구분</t>
        </is>
      </c>
      <c r="B27" s="8" t="n"/>
      <c r="C27" s="8" t="inlineStr">
        <is>
          <t>작성</t>
        </is>
      </c>
      <c r="D27" s="8" t="inlineStr">
        <is>
          <t>검토</t>
        </is>
      </c>
      <c r="E27" s="8" t="inlineStr">
        <is>
          <t>승인</t>
        </is>
      </c>
    </row>
    <row r="28" ht="28" customHeight="1">
      <c r="A28" s="9" t="inlineStr">
        <is>
          <t>성명·서명</t>
        </is>
      </c>
      <c r="B28" s="9" t="n"/>
      <c r="C28" s="10" t="n"/>
      <c r="D28" s="10" t="n"/>
      <c r="E28" s="10" t="n"/>
    </row>
    <row r="29" ht="16" customHeight="1">
      <c r="A29" s="9" t="inlineStr">
        <is>
          <t>일자</t>
        </is>
      </c>
      <c r="B29" s="9" t="n"/>
      <c r="C29" s="10" t="n"/>
      <c r="D29" s="10" t="n"/>
      <c r="E29" s="10" t="n"/>
    </row>
  </sheetData>
  <mergeCells count="13">
    <mergeCell ref="B6:C6"/>
    <mergeCell ref="A12:E12"/>
    <mergeCell ref="D7:E7"/>
    <mergeCell ref="C10:D10"/>
    <mergeCell ref="A2:E2"/>
    <mergeCell ref="A26:E26"/>
    <mergeCell ref="A29:B29"/>
    <mergeCell ref="D5:E5"/>
    <mergeCell ref="A28:B28"/>
    <mergeCell ref="B9:C9"/>
    <mergeCell ref="A27:B27"/>
    <mergeCell ref="B8:C8"/>
    <mergeCell ref="A3:E3"/>
  </mergeCells>
  <conditionalFormatting sqref="C15:C24">
    <cfRule type="expression" priority="1" dxfId="0">
      <formula>OR(C15="불합격",C15="보류",C15="부적합",C15="미흡",C15="미준수",C15="미확인",C15="실패",C15="사용금지",C15="중지·개선",C15="재교육·동행",C15="C 발주중지",C15="중요")</formula>
    </cfRule>
  </conditionalFormatting>
  <dataValidations count="2">
    <dataValidation sqref="B9" showDropDown="0" showInputMessage="0" showErrorMessage="0" allowBlank="1" error="목록에서 고르십시오: 정전 작업, 관리된 통전시험, 정전+통전시험" type="list" errorStyle="warning">
      <formula1>"정전 작업,관리된 통전시험,정전+통전시험"</formula1>
    </dataValidation>
    <dataValidation sqref="C15:C24" showDropDown="0" showInputMessage="0" showErrorMessage="0" allowBlank="1" error="목록에서 고르십시오: 확인, 미흡, 해당없음" type="list" errorStyle="warning">
      <formula1>"확인,미흡,해당없음"</formula1>
    </dataValidation>
  </dataValidations>
  <printOptions horizontalCentered="1"/>
  <pageMargins left="0.45" right="0.45" top="0.5" bottom="0.55" header="0.25" footer="0.25"/>
  <pageSetup orientation="portrait" paperSize="9" fitToHeight="1" fitToWidth="1"/>
  <headerFooter>
    <oddHeader/>
    <oddFooter>&amp;C&amp;"Malgun Gothic"&amp;8 동인엔시스 | DI-SF-02 Rev.00 | 페이지 &amp;P / 전체 &amp;N</oddFooter>
    <evenHeader/>
    <evenFooter/>
    <firstHeader/>
    <firstFooter/>
  </headerFooter>
  <drawing xmlns:r="http://schemas.openxmlformats.org/officeDocument/2006/relationships" r:id="rId1"/>
</worksheet>
</file>

<file path=xl/worksheets/sheet24.xml><?xml version="1.0" encoding="utf-8"?>
<worksheet xmlns="http://schemas.openxmlformats.org/spreadsheetml/2006/main">
  <sheetPr>
    <outlinePr summaryBelow="1" summaryRight="1"/>
    <pageSetUpPr fitToPage="1"/>
  </sheetPr>
  <dimension ref="A2:F25"/>
  <sheetViews>
    <sheetView showGridLines="0" workbookViewId="0">
      <selection activeCell="A1" sqref="A1"/>
    </sheetView>
  </sheetViews>
  <sheetFormatPr baseColWidth="8" defaultRowHeight="15"/>
  <cols>
    <col width="15.8" customWidth="1" min="1" max="1"/>
    <col width="45.2" customWidth="1" min="2" max="2"/>
    <col width="18.1" customWidth="1" min="3" max="3"/>
    <col width="18.1" customWidth="1" min="4" max="4"/>
    <col width="20.3" customWidth="1" min="5" max="5"/>
    <col width="22.6" customWidth="1" min="6" max="6"/>
  </cols>
  <sheetData>
    <row r="1" ht="22" customHeight="1"/>
    <row r="2" ht="28" customHeight="1">
      <c r="A2" s="1" t="inlineStr">
        <is>
          <t>외주 및 현장 혼재 작업 안전 협의</t>
        </is>
      </c>
      <c r="B2" s="1" t="n"/>
      <c r="C2" s="1" t="n"/>
      <c r="D2" s="1" t="n"/>
      <c r="E2" s="1" t="n"/>
      <c r="F2" s="1" t="n"/>
    </row>
    <row r="3" ht="16" customHeight="1">
      <c r="A3" s="2" t="inlineStr">
        <is>
          <t>동인엔시스 | DI-SF-03 | Rev.00 | 제정 2026.10.01 | 시행 2026.10.01 (대표 승인)   ·   담당: 생산관리 / 왕리홍 대리 | 작성: 외주 현장작업 시작 전·조건 변경 시</t>
        </is>
      </c>
      <c r="B3" s="2" t="n"/>
      <c r="C3" s="2" t="n"/>
      <c r="D3" s="2" t="n"/>
      <c r="E3" s="2" t="n"/>
      <c r="F3" s="2" t="n"/>
    </row>
    <row r="4" ht="4" customHeight="1"/>
    <row r="5" ht="20" customHeight="1">
      <c r="A5" s="12" t="inlineStr">
        <is>
          <t>업체</t>
        </is>
      </c>
      <c r="B5" s="10" t="n"/>
      <c r="C5" s="12" t="inlineStr">
        <is>
          <t>현장</t>
        </is>
      </c>
      <c r="D5" s="10" t="n"/>
      <c r="E5" s="12" t="inlineStr">
        <is>
          <t>작업내용</t>
        </is>
      </c>
      <c r="F5" s="10" t="n"/>
    </row>
    <row r="6" ht="20" customHeight="1">
      <c r="A6" s="12" t="inlineStr">
        <is>
          <t>작업 기간 / 인원</t>
        </is>
      </c>
      <c r="B6" s="10" t="n"/>
      <c r="C6" s="12" t="inlineStr">
        <is>
          <t>당사 책임자</t>
        </is>
      </c>
      <c r="D6" s="10" t="n"/>
      <c r="E6" s="12" t="inlineStr">
        <is>
          <t>외주 책임자</t>
        </is>
      </c>
      <c r="F6" s="10" t="n"/>
    </row>
    <row r="7" ht="20" customHeight="1">
      <c r="A7" s="12" t="inlineStr">
        <is>
          <t>고객 현장책임자</t>
        </is>
      </c>
      <c r="B7" s="10" t="n"/>
      <c r="C7" s="10" t="n"/>
      <c r="D7" s="12" t="inlineStr">
        <is>
          <t>작업허가·현장규칙</t>
        </is>
      </c>
      <c r="E7" s="10" t="n"/>
      <c r="F7" s="10" t="n"/>
    </row>
    <row r="8" ht="20" customHeight="1">
      <c r="A8" s="12" t="inlineStr">
        <is>
          <t>필요 자격·교육·보호구</t>
        </is>
      </c>
      <c r="B8" s="12" t="n"/>
      <c r="C8" s="10" t="n"/>
      <c r="D8" s="10" t="n"/>
      <c r="E8" s="10" t="n"/>
      <c r="F8" s="10" t="n"/>
    </row>
    <row r="9" ht="5" customHeight="1"/>
    <row r="10" ht="14.15" customHeight="1">
      <c r="A10" s="2" t="inlineStr">
        <is>
          <t>당사·외주 양측 확인 증거를 남기며 발주만으로 안전관리를 대체하지 않는다. 위험·인원·작업조건이 바뀌면 재협의한다. 당사 사업장 내 작업은 작업 중 순회 확인과 종료 확인을 남긴다.</t>
        </is>
      </c>
      <c r="B10" s="2" t="n"/>
      <c r="C10" s="2" t="n"/>
      <c r="D10" s="2" t="n"/>
      <c r="E10" s="2" t="n"/>
      <c r="F10" s="2" t="n"/>
    </row>
    <row r="11" ht="5" customHeight="1"/>
    <row r="12" ht="26" customHeight="1">
      <c r="A12" s="3" t="inlineStr">
        <is>
          <t>협의 항목</t>
        </is>
      </c>
      <c r="B12" s="3" t="inlineStr">
        <is>
          <t>위험·관리·결정</t>
        </is>
      </c>
      <c r="C12" s="3" t="inlineStr">
        <is>
          <t>당사 담당</t>
        </is>
      </c>
      <c r="D12" s="3" t="inlineStr">
        <is>
          <t>외주 담당</t>
        </is>
      </c>
      <c r="E12" s="3" t="inlineStr">
        <is>
          <t>확인·서명</t>
        </is>
      </c>
      <c r="F12" s="3" t="inlineStr">
        <is>
          <t>변경·종료확인</t>
        </is>
      </c>
    </row>
    <row r="13" ht="26" customHeight="1">
      <c r="A13" s="4" t="inlineStr">
        <is>
          <t>동시작업</t>
        </is>
      </c>
      <c r="B13" s="4" t="inlineStr">
        <is>
          <t>구역·시간·간섭·출입 통제</t>
        </is>
      </c>
      <c r="C13" s="5" t="n"/>
      <c r="D13" s="5" t="n"/>
      <c r="E13" s="5" t="n"/>
      <c r="F13" s="5" t="n"/>
    </row>
    <row r="14" ht="26" customHeight="1">
      <c r="A14" s="4" t="inlineStr">
        <is>
          <t>전원·LOTO</t>
        </is>
      </c>
      <c r="B14" s="4" t="inlineStr">
        <is>
          <t>차단·잠금 주체, 통전 승인 책임</t>
        </is>
      </c>
      <c r="C14" s="5" t="n"/>
      <c r="D14" s="5" t="n"/>
      <c r="E14" s="5" t="n"/>
      <c r="F14" s="5" t="n"/>
    </row>
    <row r="15" ht="26" customHeight="1">
      <c r="A15" s="4" t="inlineStr">
        <is>
          <t>작업 위험</t>
        </is>
      </c>
      <c r="B15" s="4" t="inlineStr">
        <is>
          <t>추락·협착·중량물·전기·화기</t>
        </is>
      </c>
      <c r="C15" s="5" t="n"/>
      <c r="D15" s="5" t="n"/>
      <c r="E15" s="5" t="n"/>
      <c r="F15" s="5" t="n"/>
    </row>
    <row r="16" ht="26" customHeight="1">
      <c r="A16" s="4" t="inlineStr">
        <is>
          <t>교육·보호구</t>
        </is>
      </c>
      <c r="B16" s="4" t="inlineStr">
        <is>
          <t>외주 작업자 교육 확인, 보호구·절연공구</t>
        </is>
      </c>
      <c r="C16" s="5" t="n"/>
      <c r="D16" s="5" t="n"/>
      <c r="E16" s="5" t="n"/>
      <c r="F16" s="5" t="n"/>
    </row>
    <row r="17" ht="26" customHeight="1">
      <c r="A17" s="4" t="inlineStr">
        <is>
          <t>비상</t>
        </is>
      </c>
      <c r="B17" s="4" t="inlineStr">
        <is>
          <t>신고·대피·연락처·구조 범위</t>
        </is>
      </c>
      <c r="C17" s="5" t="n"/>
      <c r="D17" s="5" t="n"/>
      <c r="E17" s="5" t="n"/>
      <c r="F17" s="5" t="n"/>
    </row>
    <row r="18" ht="26" customHeight="1">
      <c r="A18" s="4" t="inlineStr">
        <is>
          <t>순회 확인</t>
        </is>
      </c>
      <c r="B18" s="4" t="inlineStr">
        <is>
          <t>일자·확인자·지적·조치</t>
        </is>
      </c>
      <c r="C18" s="5" t="n"/>
      <c r="D18" s="5" t="n"/>
      <c r="E18" s="5" t="n"/>
      <c r="F18" s="5" t="n"/>
    </row>
    <row r="19" ht="26" customHeight="1">
      <c r="A19" s="4" t="inlineStr">
        <is>
          <t>검사·인수</t>
        </is>
      </c>
      <c r="B19" s="4" t="inlineStr">
        <is>
          <t>외주 배선 검사·출입/종료 확인</t>
        </is>
      </c>
      <c r="C19" s="5" t="n"/>
      <c r="D19" s="5" t="n"/>
      <c r="E19" s="5" t="n"/>
      <c r="F19" s="5" t="n"/>
    </row>
    <row r="20" ht="26" customHeight="1">
      <c r="A20" s="5" t="n"/>
      <c r="B20" s="5" t="n"/>
      <c r="C20" s="5" t="n"/>
      <c r="D20" s="5" t="n"/>
      <c r="E20" s="5" t="n"/>
      <c r="F20" s="5" t="n"/>
    </row>
    <row r="21" ht="26" customHeight="1">
      <c r="A21" s="5" t="n"/>
      <c r="B21" s="5" t="n"/>
      <c r="C21" s="5" t="n"/>
      <c r="D21" s="5" t="n"/>
      <c r="E21" s="5" t="n"/>
      <c r="F21" s="5" t="n"/>
    </row>
    <row r="22" ht="6" customHeight="1"/>
    <row r="23" ht="16" customHeight="1">
      <c r="A23" s="7" t="inlineStr">
        <is>
          <t>첨부·대체 기록 번호와 보관 경로 / 적용 제외(해당없음) 사유 / 미결 확인 :</t>
        </is>
      </c>
      <c r="B23" s="13" t="n"/>
      <c r="C23" s="8" t="inlineStr">
        <is>
          <t>구분</t>
        </is>
      </c>
      <c r="D23" s="8" t="inlineStr">
        <is>
          <t>당사 책임자</t>
        </is>
      </c>
      <c r="E23" s="8" t="inlineStr">
        <is>
          <t>외주 책임자</t>
        </is>
      </c>
      <c r="F23" s="8" t="inlineStr">
        <is>
          <t>안전 담당</t>
        </is>
      </c>
    </row>
    <row r="24" ht="28" customHeight="1">
      <c r="A24" s="13" t="n"/>
      <c r="B24" s="13" t="n"/>
      <c r="C24" s="9" t="inlineStr">
        <is>
          <t>성명·서명</t>
        </is>
      </c>
      <c r="D24" s="10" t="n"/>
      <c r="E24" s="10" t="n"/>
      <c r="F24" s="10" t="n"/>
    </row>
    <row r="25" ht="16" customHeight="1">
      <c r="A25" s="13" t="n"/>
      <c r="B25" s="13" t="n"/>
      <c r="C25" s="9" t="inlineStr">
        <is>
          <t>일자</t>
        </is>
      </c>
      <c r="D25" s="10" t="n"/>
      <c r="E25" s="10" t="n"/>
      <c r="F25" s="10" t="n"/>
    </row>
  </sheetData>
  <mergeCells count="8">
    <mergeCell ref="A2:F2"/>
    <mergeCell ref="A10:F10"/>
    <mergeCell ref="B7:C7"/>
    <mergeCell ref="C8:F8"/>
    <mergeCell ref="E7:F7"/>
    <mergeCell ref="A23:B25"/>
    <mergeCell ref="A3:F3"/>
    <mergeCell ref="A8:B8"/>
  </mergeCells>
  <printOptions horizontalCentered="1"/>
  <pageMargins left="0.45" right="0.45" top="0.5" bottom="0.55" header="0.25" footer="0.25"/>
  <pageSetup orientation="landscape" paperSize="9" fitToHeight="1" fitToWidth="1"/>
  <headerFooter>
    <oddHeader/>
    <oddFooter>&amp;C&amp;"Malgun Gothic"&amp;8 동인엔시스 | DI-SF-03 Rev.00 | 페이지 &amp;P / 전체 &amp;N</oddFooter>
    <evenHeader/>
    <evenFooter/>
    <firstHeader/>
    <firstFooter/>
  </headerFooter>
  <drawing xmlns:r="http://schemas.openxmlformats.org/officeDocument/2006/relationships" r:id="rId1"/>
</worksheet>
</file>

<file path=xl/worksheets/sheet25.xml><?xml version="1.0" encoding="utf-8"?>
<worksheet xmlns="http://schemas.openxmlformats.org/spreadsheetml/2006/main">
  <sheetPr>
    <outlinePr summaryBelow="1" summaryRight="1"/>
    <pageSetUpPr fitToPage="1"/>
  </sheetPr>
  <dimension ref="A2:H30"/>
  <sheetViews>
    <sheetView showGridLines="0" workbookViewId="0">
      <selection activeCell="A1" sqref="A1"/>
    </sheetView>
  </sheetViews>
  <sheetFormatPr baseColWidth="8" defaultRowHeight="15"/>
  <cols>
    <col width="23.7" customWidth="1" min="1" max="1"/>
    <col width="30.2" customWidth="1" min="2" max="2"/>
    <col width="19.4" customWidth="1" min="3" max="3"/>
    <col width="9.699999999999999" customWidth="1" min="4" max="4"/>
    <col width="19.4" customWidth="1" min="5" max="5"/>
    <col width="9.699999999999999" customWidth="1" min="6" max="6"/>
    <col width="17.2" customWidth="1" min="7" max="7"/>
    <col width="10.8" customWidth="1" min="8" max="8"/>
  </cols>
  <sheetData>
    <row r="1" ht="22" customHeight="1"/>
    <row r="2" ht="28" customHeight="1">
      <c r="A2" s="1" t="inlineStr">
        <is>
          <t>안전보건관리담당자·관리감독자 지정 및 반기 평가</t>
        </is>
      </c>
      <c r="B2" s="1" t="n"/>
      <c r="C2" s="1" t="n"/>
      <c r="D2" s="1" t="n"/>
      <c r="E2" s="1" t="n"/>
      <c r="F2" s="1" t="n"/>
      <c r="G2" s="1" t="n"/>
      <c r="H2" s="1" t="n"/>
    </row>
    <row r="3" ht="16" customHeight="1">
      <c r="A3" s="2" t="inlineStr">
        <is>
          <t>동인엔시스 | DI-SF-04 | Rev.00 | 제정 2026.10.01 | 시행 2026.10.01 (대표 승인)   ·   담당: 대표이사 / 경영관리 | 작성: 선임·변경 시 / 반기(6월·12월) 평가</t>
        </is>
      </c>
      <c r="B3" s="2" t="n"/>
      <c r="C3" s="2" t="n"/>
      <c r="D3" s="2" t="n"/>
      <c r="E3" s="2" t="n"/>
      <c r="F3" s="2" t="n"/>
      <c r="G3" s="2" t="n"/>
      <c r="H3" s="2" t="n"/>
    </row>
    <row r="4" ht="4" customHeight="1"/>
    <row r="5" ht="20" customHeight="1">
      <c r="A5" s="12" t="inlineStr">
        <is>
          <t>선임자 / 소속·직책</t>
        </is>
      </c>
      <c r="B5" s="10" t="n"/>
      <c r="C5" s="10" t="n"/>
      <c r="D5" s="12" t="inlineStr">
        <is>
          <t>선임일</t>
        </is>
      </c>
      <c r="E5" s="10" t="n"/>
      <c r="F5" s="10" t="n"/>
      <c r="G5" s="10" t="n"/>
      <c r="H5" s="10" t="n"/>
    </row>
    <row r="6" ht="28.3" customHeight="1">
      <c r="A6" s="12" t="inlineStr">
        <is>
          <t>자격 근거 (안전·보건관리자 자격 / 양성교육 이수 등)</t>
        </is>
      </c>
      <c r="B6" s="10" t="n"/>
      <c r="C6" s="10" t="n"/>
      <c r="D6" s="10" t="n"/>
      <c r="E6" s="10" t="n"/>
      <c r="F6" s="10" t="n"/>
      <c r="G6" s="10" t="n"/>
      <c r="H6" s="10" t="n"/>
    </row>
    <row r="7" ht="20" customHeight="1">
      <c r="A7" s="12" t="inlineStr">
        <is>
          <t>위탁 시: 전문기관 / 계약기간</t>
        </is>
      </c>
      <c r="B7" s="10" t="n"/>
      <c r="C7" s="10" t="n"/>
      <c r="D7" s="12" t="inlineStr">
        <is>
          <t>기관 담당자</t>
        </is>
      </c>
      <c r="E7" s="10" t="n"/>
      <c r="F7" s="10" t="n"/>
      <c r="G7" s="10" t="n"/>
      <c r="H7" s="10" t="n"/>
    </row>
    <row r="8" ht="20" customHeight="1">
      <c r="A8" s="12" t="inlineStr">
        <is>
          <t>보수교육 이수일</t>
        </is>
      </c>
      <c r="B8" s="10" t="n"/>
      <c r="C8" s="10" t="n"/>
      <c r="D8" s="10" t="n"/>
      <c r="E8" s="12" t="inlineStr">
        <is>
          <t>다음 보수교육 기한</t>
        </is>
      </c>
      <c r="F8" s="10" t="n"/>
      <c r="G8" s="10" t="n"/>
      <c r="H8" s="10" t="n"/>
    </row>
    <row r="9" ht="28.3" customHeight="1">
      <c r="A9" s="12" t="inlineStr">
        <is>
          <t>관리감독자 (성명 / 지휘하는 작업) — 지정일</t>
        </is>
      </c>
      <c r="B9" s="10" t="n"/>
      <c r="C9" s="10" t="n"/>
      <c r="D9" s="10" t="n"/>
      <c r="E9" s="10" t="n"/>
      <c r="F9" s="10" t="n"/>
      <c r="G9" s="10" t="n"/>
      <c r="H9" s="10" t="n"/>
    </row>
    <row r="10" ht="5" customHeight="1"/>
    <row r="11" ht="26.3" customHeight="1">
      <c r="A11" s="2" t="inlineStr">
        <is>
          <t>관리감독자: 생산·시험 등 작업을 직접 지휘하는 사람을 대표가 지정한다(산업안전보건법 제16조). 중대재해처벌법 시행령 제4조 제5호에 따라 안전보건관리담당자와 함께 반기마다 평가한다. 아래 '관리감독자' 행은 지정된 사람마다 평가한다.</t>
        </is>
      </c>
      <c r="B11" s="2" t="n"/>
      <c r="C11" s="2" t="n"/>
      <c r="D11" s="2" t="n"/>
      <c r="E11" s="2" t="n"/>
      <c r="F11" s="2" t="n"/>
      <c r="G11" s="2" t="n"/>
      <c r="H11" s="2" t="n"/>
    </row>
    <row r="12" ht="14.15" customHeight="1">
      <c r="A12" s="2" t="inlineStr">
        <is>
          <t>선임 근거: 산업안전보건법 제19조(상시근로자 20~49명 제조업). 선임 증빙은 이 양식과 첨부로 보관한다. 보수교육은 시행규칙 별표4 기준 8시간 이상이며 주기는 MF-05에서 확인한다.</t>
        </is>
      </c>
      <c r="B12" s="2" t="n"/>
      <c r="C12" s="2" t="n"/>
      <c r="D12" s="2" t="n"/>
      <c r="E12" s="2" t="n"/>
      <c r="F12" s="2" t="n"/>
      <c r="G12" s="2" t="n"/>
      <c r="H12" s="2" t="n"/>
    </row>
    <row r="13" ht="14.15" customHeight="1">
      <c r="A13" s="2" t="inlineStr">
        <is>
          <t>부여 권한: 급박위험 시 작업중지 / SF-07 예산 집행 요청 / 외주 작업 중지 요청. 반기마다 대표가 직무 수행을 평가하고 결과를 SF-08에 연결한다. 미흡은 개선 계획과 기한을 정한다.</t>
        </is>
      </c>
      <c r="B13" s="2" t="n"/>
      <c r="C13" s="2" t="n"/>
      <c r="D13" s="2" t="n"/>
      <c r="E13" s="2" t="n"/>
      <c r="F13" s="2" t="n"/>
      <c r="G13" s="2" t="n"/>
      <c r="H13" s="2" t="n"/>
    </row>
    <row r="14" ht="5" customHeight="1"/>
    <row r="15" ht="31.65" customHeight="1">
      <c r="A15" s="3" t="inlineStr">
        <is>
          <t>직무</t>
        </is>
      </c>
      <c r="B15" s="3" t="inlineStr">
        <is>
          <t>수행 기준</t>
        </is>
      </c>
      <c r="C15" s="3" t="inlineStr">
        <is>
          <t>상반기 실적·증거</t>
        </is>
      </c>
      <c r="D15" s="3" t="inlineStr">
        <is>
          <t>상반기 평가</t>
        </is>
      </c>
      <c r="E15" s="3" t="inlineStr">
        <is>
          <t>하반기 실적·증거</t>
        </is>
      </c>
      <c r="F15" s="3" t="inlineStr">
        <is>
          <t>하반기 평가</t>
        </is>
      </c>
      <c r="G15" s="3" t="inlineStr">
        <is>
          <t>미흡·개선 조치</t>
        </is>
      </c>
      <c r="H15" s="3" t="inlineStr">
        <is>
          <t>대표 확인</t>
        </is>
      </c>
    </row>
    <row r="16" ht="31.65" customHeight="1">
      <c r="A16" s="4" t="inlineStr">
        <is>
          <t>위험성평가 실시·조치 지도 (SF-01)</t>
        </is>
      </c>
      <c r="B16" s="4" t="inlineStr">
        <is>
          <t>최초·연 1회·수시 평가, 대책 이행 확인</t>
        </is>
      </c>
      <c r="C16" s="5" t="n"/>
      <c r="D16" s="6" t="n"/>
      <c r="E16" s="5" t="n"/>
      <c r="F16" s="6" t="n"/>
      <c r="G16" s="5" t="n"/>
      <c r="H16" s="5" t="n"/>
    </row>
    <row r="17" ht="31.65" customHeight="1">
      <c r="A17" s="4" t="inlineStr">
        <is>
          <t>안전보건교육 계획·실시 (SF-05)</t>
        </is>
      </c>
      <c r="B17" s="4" t="inlineStr">
        <is>
          <t>연간 계획, 반기 이수율 100%</t>
        </is>
      </c>
      <c r="C17" s="5" t="n"/>
      <c r="D17" s="6" t="n"/>
      <c r="E17" s="5" t="n"/>
      <c r="F17" s="6" t="n"/>
      <c r="G17" s="5" t="n"/>
      <c r="H17" s="5" t="n"/>
    </row>
    <row r="18" ht="31.65" customHeight="1">
      <c r="A18" s="4" t="inlineStr">
        <is>
          <t>건강진단·작업환경 확인 (SF-06)</t>
        </is>
      </c>
      <c r="B18" s="4" t="inlineStr">
        <is>
          <t>대상자 수검, 유해인자 판정</t>
        </is>
      </c>
      <c r="C18" s="5" t="n"/>
      <c r="D18" s="6" t="n"/>
      <c r="E18" s="5" t="n"/>
      <c r="F18" s="6" t="n"/>
      <c r="G18" s="5" t="n"/>
      <c r="H18" s="5" t="n"/>
    </row>
    <row r="19" ht="31.65" customHeight="1">
      <c r="A19" s="4" t="inlineStr">
        <is>
          <t>산업재해 원인조사·재발방지 (SF-10)</t>
        </is>
      </c>
      <c r="B19" s="4" t="inlineStr">
        <is>
          <t>발생 시 조사·대책·SF-01 재검토</t>
        </is>
      </c>
      <c r="C19" s="5" t="n"/>
      <c r="D19" s="6" t="n"/>
      <c r="E19" s="5" t="n"/>
      <c r="F19" s="6" t="n"/>
      <c r="G19" s="5" t="n"/>
      <c r="H19" s="5" t="n"/>
    </row>
    <row r="20" ht="26" customHeight="1">
      <c r="A20" s="4" t="inlineStr">
        <is>
          <t>보호구 선정·지급·착용 지도</t>
        </is>
      </c>
      <c r="B20" s="4" t="inlineStr">
        <is>
          <t>작업별 지급 기록, 착용 점검</t>
        </is>
      </c>
      <c r="C20" s="5" t="n"/>
      <c r="D20" s="6" t="n"/>
      <c r="E20" s="5" t="n"/>
      <c r="F20" s="6" t="n"/>
      <c r="G20" s="5" t="n"/>
      <c r="H20" s="5" t="n"/>
    </row>
    <row r="21" ht="31.65" customHeight="1">
      <c r="A21" s="4" t="inlineStr">
        <is>
          <t>외주 작업 안전 협의·순회 (SF-03·SF-09)</t>
        </is>
      </c>
      <c r="B21" s="4" t="inlineStr">
        <is>
          <t>작업 전 협의, 순회 확인 기록</t>
        </is>
      </c>
      <c r="C21" s="5" t="n"/>
      <c r="D21" s="6" t="n"/>
      <c r="E21" s="5" t="n"/>
      <c r="F21" s="6" t="n"/>
      <c r="G21" s="5" t="n"/>
      <c r="H21" s="5" t="n"/>
    </row>
    <row r="22" ht="26" customHeight="1">
      <c r="A22" s="4" t="inlineStr">
        <is>
          <t>법규 준수 확인 (MF-05)</t>
        </is>
      </c>
      <c r="B22" s="4" t="inlineStr">
        <is>
          <t>반기 최신성 확인, 연 1회 준수평가</t>
        </is>
      </c>
      <c r="C22" s="5" t="n"/>
      <c r="D22" s="6" t="n"/>
      <c r="E22" s="5" t="n"/>
      <c r="F22" s="6" t="n"/>
      <c r="G22" s="5" t="n"/>
      <c r="H22" s="5" t="n"/>
    </row>
    <row r="23" ht="31.65" customHeight="1">
      <c r="A23" s="4" t="inlineStr">
        <is>
          <t>근로자 의견 청취·회신 (MF-06)</t>
        </is>
      </c>
      <c r="B23" s="4" t="inlineStr">
        <is>
          <t>분기 1회 협의, 회신 기한 준수</t>
        </is>
      </c>
      <c r="C23" s="5" t="n"/>
      <c r="D23" s="6" t="n"/>
      <c r="E23" s="5" t="n"/>
      <c r="F23" s="6" t="n"/>
      <c r="G23" s="5" t="n"/>
      <c r="H23" s="5" t="n"/>
    </row>
    <row r="24" ht="31.65" customHeight="1">
      <c r="A24" s="4" t="inlineStr">
        <is>
          <t>관리감독자: 작업 전 점검</t>
        </is>
      </c>
      <c r="B24" s="4" t="inlineStr">
        <is>
          <t>기계·기구·전기설비 작업 전 점검, 이상 시 사용중지</t>
        </is>
      </c>
      <c r="C24" s="5" t="n"/>
      <c r="D24" s="6" t="n"/>
      <c r="E24" s="5" t="n"/>
      <c r="F24" s="6" t="n"/>
      <c r="G24" s="5" t="n"/>
      <c r="H24" s="5" t="n"/>
    </row>
    <row r="25" ht="26" customHeight="1">
      <c r="A25" s="4" t="inlineStr">
        <is>
          <t>관리감독자: 작업 지도</t>
        </is>
      </c>
      <c r="B25" s="4" t="inlineStr">
        <is>
          <t>보호구 착용·작업 방법 지도, 정리정돈</t>
        </is>
      </c>
      <c r="C25" s="5" t="n"/>
      <c r="D25" s="6" t="n"/>
      <c r="E25" s="5" t="n"/>
      <c r="F25" s="6" t="n"/>
      <c r="G25" s="5" t="n"/>
      <c r="H25" s="5" t="n"/>
    </row>
    <row r="26" ht="31.65" customHeight="1">
      <c r="A26" s="4" t="inlineStr">
        <is>
          <t>관리감독자: 재해 대응·위험성평가</t>
        </is>
      </c>
      <c r="B26" s="4" t="inlineStr">
        <is>
          <t>재해 시 보고·응급조치, SF-01 참여</t>
        </is>
      </c>
      <c r="C26" s="5" t="n"/>
      <c r="D26" s="6" t="n"/>
      <c r="E26" s="5" t="n"/>
      <c r="F26" s="6" t="n"/>
      <c r="G26" s="5" t="n"/>
      <c r="H26" s="5" t="n"/>
    </row>
    <row r="27" ht="6" customHeight="1"/>
    <row r="28" ht="16" customHeight="1">
      <c r="A28" s="7" t="inlineStr">
        <is>
          <t>첨부·대체 기록 번호와 보관 경로 / 적용 제외(해당없음) 사유 / 미결 확인 :</t>
        </is>
      </c>
      <c r="B28" s="13" t="n"/>
      <c r="C28" s="8" t="inlineStr">
        <is>
          <t>구분</t>
        </is>
      </c>
      <c r="D28" s="8" t="n"/>
      <c r="E28" s="8" t="inlineStr">
        <is>
          <t>작성</t>
        </is>
      </c>
      <c r="F28" s="8" t="n"/>
      <c r="G28" s="8" t="inlineStr">
        <is>
          <t>확인</t>
        </is>
      </c>
      <c r="H28" s="8" t="inlineStr">
        <is>
          <t>대표이사</t>
        </is>
      </c>
    </row>
    <row r="29" ht="28" customHeight="1">
      <c r="A29" s="13" t="n"/>
      <c r="B29" s="13" t="n"/>
      <c r="C29" s="9" t="inlineStr">
        <is>
          <t>성명·서명</t>
        </is>
      </c>
      <c r="D29" s="9" t="n"/>
      <c r="E29" s="10" t="n"/>
      <c r="F29" s="10" t="n"/>
      <c r="G29" s="10" t="n"/>
      <c r="H29" s="10" t="n"/>
    </row>
    <row r="30" ht="16" customHeight="1">
      <c r="A30" s="13" t="n"/>
      <c r="B30" s="13" t="n"/>
      <c r="C30" s="9" t="inlineStr">
        <is>
          <t>일자</t>
        </is>
      </c>
      <c r="D30" s="9" t="n"/>
      <c r="E30" s="10" t="n"/>
      <c r="F30" s="10" t="n"/>
      <c r="G30" s="10" t="n"/>
      <c r="H30" s="10" t="n"/>
    </row>
  </sheetData>
  <mergeCells count="20">
    <mergeCell ref="C30:D30"/>
    <mergeCell ref="B7:C7"/>
    <mergeCell ref="B9:H9"/>
    <mergeCell ref="A28:B30"/>
    <mergeCell ref="B8:D8"/>
    <mergeCell ref="B6:H6"/>
    <mergeCell ref="F8:H8"/>
    <mergeCell ref="E7:H7"/>
    <mergeCell ref="A11:H11"/>
    <mergeCell ref="C29:D29"/>
    <mergeCell ref="E29:F29"/>
    <mergeCell ref="E28:F28"/>
    <mergeCell ref="E5:H5"/>
    <mergeCell ref="A12:H12"/>
    <mergeCell ref="A3:H3"/>
    <mergeCell ref="E30:F30"/>
    <mergeCell ref="A2:H2"/>
    <mergeCell ref="B5:C5"/>
    <mergeCell ref="C28:D28"/>
    <mergeCell ref="A13:H13"/>
  </mergeCells>
  <conditionalFormatting sqref="D16:D26">
    <cfRule type="expression" priority="1" dxfId="0">
      <formula>OR(D16="불합격",D16="보류",D16="부적합",D16="미흡",D16="미준수",D16="미확인",D16="실패",D16="사용금지",D16="중지·개선",D16="재교육·동행",D16="C 발주중지",D16="중요")</formula>
    </cfRule>
  </conditionalFormatting>
  <conditionalFormatting sqref="F16:F26">
    <cfRule type="expression" priority="2" dxfId="0">
      <formula>OR(F16="불합격",F16="보류",F16="부적합",F16="미흡",F16="미준수",F16="미확인",F16="실패",F16="사용금지",F16="중지·개선",F16="재교육·동행",F16="C 발주중지",F16="중요")</formula>
    </cfRule>
  </conditionalFormatting>
  <dataValidations count="2">
    <dataValidation sqref="D16:D26" showDropDown="0" showInputMessage="0" showErrorMessage="0" allowBlank="1" error="목록에서 고르십시오: 적합, 부분, 미흡" type="list" errorStyle="warning">
      <formula1>"적합,부분,미흡"</formula1>
    </dataValidation>
    <dataValidation sqref="F16:F26" showDropDown="0" showInputMessage="0" showErrorMessage="0" allowBlank="1" error="목록에서 고르십시오: 적합, 부분, 미흡" type="list" errorStyle="warning">
      <formula1>"적합,부분,미흡"</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DI-SF-04 Rev.00 | 페이지 &amp;P / 전체 &amp;N</oddFooter>
    <evenHeader/>
    <evenFooter/>
    <firstHeader/>
    <firstFooter/>
  </headerFooter>
  <drawing xmlns:r="http://schemas.openxmlformats.org/officeDocument/2006/relationships" r:id="rId1"/>
</worksheet>
</file>

<file path=xl/worksheets/sheet26.xml><?xml version="1.0" encoding="utf-8"?>
<worksheet xmlns="http://schemas.openxmlformats.org/spreadsheetml/2006/main">
  <sheetPr>
    <outlinePr summaryBelow="1" summaryRight="1"/>
    <pageSetUpPr fitToPage="1"/>
  </sheetPr>
  <dimension ref="A2:H29"/>
  <sheetViews>
    <sheetView showGridLines="0" workbookViewId="0">
      <selection activeCell="A1" sqref="A1"/>
    </sheetView>
  </sheetViews>
  <sheetFormatPr baseColWidth="8" defaultRowHeight="15"/>
  <cols>
    <col width="26.7" customWidth="1" min="1" max="1"/>
    <col width="15.6" customWidth="1" min="2" max="2"/>
    <col width="28.9" customWidth="1" min="3" max="3"/>
    <col width="10" customWidth="1" min="4" max="4"/>
    <col width="14.4" customWidth="1" min="5" max="5"/>
    <col width="12.2" customWidth="1" min="6" max="6"/>
    <col width="16.7" customWidth="1" min="7" max="7"/>
    <col width="15.6" customWidth="1" min="8" max="8"/>
  </cols>
  <sheetData>
    <row r="1" ht="22" customHeight="1"/>
    <row r="2" ht="28" customHeight="1">
      <c r="A2" s="1" t="inlineStr">
        <is>
          <t>안전보건교육 연간 계획 및 실적</t>
        </is>
      </c>
      <c r="B2" s="1" t="n"/>
      <c r="C2" s="1" t="n"/>
      <c r="D2" s="1" t="n"/>
      <c r="E2" s="1" t="n"/>
      <c r="F2" s="1" t="n"/>
      <c r="G2" s="1" t="n"/>
      <c r="H2" s="1" t="n"/>
    </row>
    <row r="3" ht="16" customHeight="1">
      <c r="A3" s="2" t="inlineStr">
        <is>
          <t>동인엔시스 | DI-SF-05 | Rev.00 | 제정 2026.10.01 | 시행 2026.10.01 (대표 승인)   ·   담당: 왕리홍 대리 / 경영관리 | 작성: 매년 1월 계획 / 교육 실시 시 / 반기 실적은 SF-08 점검 때</t>
        </is>
      </c>
      <c r="B3" s="2" t="n"/>
      <c r="C3" s="2" t="n"/>
      <c r="D3" s="2" t="n"/>
      <c r="E3" s="2" t="n"/>
      <c r="F3" s="2" t="n"/>
      <c r="G3" s="2" t="n"/>
      <c r="H3" s="2" t="n"/>
    </row>
    <row r="4" ht="4" customHeight="1"/>
    <row r="5" ht="20" customHeight="1">
      <c r="A5" s="12" t="inlineStr">
        <is>
          <t>관리연도</t>
        </is>
      </c>
      <c r="B5" s="10" t="n"/>
      <c r="C5" s="10" t="n"/>
      <c r="D5" s="12" t="inlineStr">
        <is>
          <t>작성자</t>
        </is>
      </c>
      <c r="E5" s="10" t="n"/>
      <c r="F5" s="10" t="n"/>
      <c r="G5" s="10" t="n"/>
      <c r="H5" s="10" t="n"/>
    </row>
    <row r="6" ht="40.45" customHeight="1">
      <c r="A6" s="12" t="inlineStr">
        <is>
          <t>대상 인원: 사무직 ( )명 · 제조·시험·시운전 ( )명 · 일용·기간제 ( )명</t>
        </is>
      </c>
      <c r="B6" s="10" t="n"/>
      <c r="C6" s="10" t="n"/>
      <c r="D6" s="10" t="n"/>
      <c r="E6" s="10" t="n"/>
      <c r="F6" s="10" t="n"/>
      <c r="G6" s="10" t="n"/>
      <c r="H6" s="10" t="n"/>
    </row>
    <row r="7" ht="20" customHeight="1">
      <c r="A7" s="12" t="inlineStr">
        <is>
          <t>법령 확인일 / 확인자</t>
        </is>
      </c>
      <c r="B7" s="10" t="n"/>
      <c r="C7" s="10" t="n"/>
      <c r="D7" s="10" t="n"/>
      <c r="E7" s="10" t="n"/>
      <c r="F7" s="10" t="n"/>
      <c r="G7" s="10" t="n"/>
      <c r="H7" s="10" t="n"/>
    </row>
    <row r="8" ht="5" customHeight="1"/>
    <row r="9" ht="14.15" customHeight="1">
      <c r="A9" s="2" t="inlineStr">
        <is>
          <t>법정 기준은 산업안전보건법 시행규칙 별표4(2025.5.30 개정)를 옮긴 참고값이다. 연초 계획 시 최신 법령을 다시 확인하고 바뀌었으면 고쳐 적는다.</t>
        </is>
      </c>
      <c r="B9" s="2" t="n"/>
      <c r="C9" s="2" t="n"/>
      <c r="D9" s="2" t="n"/>
      <c r="E9" s="2" t="n"/>
      <c r="F9" s="2" t="n"/>
      <c r="G9" s="2" t="n"/>
      <c r="H9" s="2" t="n"/>
    </row>
    <row r="10" ht="26.3" customHeight="1">
      <c r="A10" s="2" t="inlineStr">
        <is>
          <t>개인별 이수 서명·평가는 QF-12에 남기고 외부 교육은 수료증을 첨부한다. 일용직은 투입 당일 작업 전에 실시한다. 특별교육 대상 작업(별표5)은 SF-01 결과로 지정한다. 반기 이수율이 100%가 아니면 미이수자·사유·보충 일정을 적고 SF-08에 보고한다.</t>
        </is>
      </c>
      <c r="B10" s="2" t="n"/>
      <c r="C10" s="2" t="n"/>
      <c r="D10" s="2" t="n"/>
      <c r="E10" s="2" t="n"/>
      <c r="F10" s="2" t="n"/>
      <c r="G10" s="2" t="n"/>
      <c r="H10" s="2" t="n"/>
    </row>
    <row r="11" ht="5" customHeight="1"/>
    <row r="12" ht="31.65" customHeight="1">
      <c r="A12" s="3" t="inlineStr">
        <is>
          <t>교육 종류</t>
        </is>
      </c>
      <c r="B12" s="3" t="inlineStr">
        <is>
          <t>대상</t>
        </is>
      </c>
      <c r="C12" s="3" t="inlineStr">
        <is>
          <t>법정 기준 (시간·주기)</t>
        </is>
      </c>
      <c r="D12" s="3" t="inlineStr">
        <is>
          <t>계획 월</t>
        </is>
      </c>
      <c r="E12" s="3" t="inlineStr">
        <is>
          <t>실시일·시간</t>
        </is>
      </c>
      <c r="F12" s="3" t="inlineStr">
        <is>
          <t>대상/이수 인원</t>
        </is>
      </c>
      <c r="G12" s="3" t="inlineStr">
        <is>
          <t>미이수·보충</t>
        </is>
      </c>
      <c r="H12" s="3" t="inlineStr">
        <is>
          <t>증거 (QF-12·수료증)</t>
        </is>
      </c>
    </row>
    <row r="13" ht="22" customHeight="1">
      <c r="A13" s="4" t="inlineStr">
        <is>
          <t>정기교육 (사무직)</t>
        </is>
      </c>
      <c r="B13" s="4" t="inlineStr">
        <is>
          <t>사무직 종사자</t>
        </is>
      </c>
      <c r="C13" s="4" t="inlineStr">
        <is>
          <t>매반기 6시간 이상</t>
        </is>
      </c>
      <c r="D13" s="5" t="n"/>
      <c r="E13" s="5" t="n"/>
      <c r="F13" s="5" t="n"/>
      <c r="G13" s="5" t="n"/>
      <c r="H13" s="5" t="n"/>
    </row>
    <row r="14" ht="22" customHeight="1">
      <c r="A14" s="4" t="inlineStr">
        <is>
          <t>정기교육 (제조·시험·시운전)</t>
        </is>
      </c>
      <c r="B14" s="4" t="inlineStr">
        <is>
          <t>그 밖의 근로자</t>
        </is>
      </c>
      <c r="C14" s="4" t="inlineStr">
        <is>
          <t>매반기 12시간 이상</t>
        </is>
      </c>
      <c r="D14" s="5" t="n"/>
      <c r="E14" s="5" t="n"/>
      <c r="F14" s="5" t="n"/>
      <c r="G14" s="5" t="n"/>
      <c r="H14" s="5" t="n"/>
    </row>
    <row r="15" ht="31.65" customHeight="1">
      <c r="A15" s="4" t="inlineStr">
        <is>
          <t>채용 시 교육 (정규직·1개월 초과 기간제)</t>
        </is>
      </c>
      <c r="B15" s="4" t="inlineStr">
        <is>
          <t>신규 채용자</t>
        </is>
      </c>
      <c r="C15" s="4" t="inlineStr">
        <is>
          <t>8시간 이상</t>
        </is>
      </c>
      <c r="D15" s="5" t="n"/>
      <c r="E15" s="5" t="n"/>
      <c r="F15" s="5" t="n"/>
      <c r="G15" s="5" t="n"/>
      <c r="H15" s="5" t="n"/>
    </row>
    <row r="16" ht="31.65" customHeight="1">
      <c r="A16" s="4" t="inlineStr">
        <is>
          <t>채용 시 교육 (1주 초과~1개월 기간제)</t>
        </is>
      </c>
      <c r="B16" s="4" t="inlineStr">
        <is>
          <t>해당자</t>
        </is>
      </c>
      <c r="C16" s="4" t="inlineStr">
        <is>
          <t>4시간 이상</t>
        </is>
      </c>
      <c r="D16" s="5" t="n"/>
      <c r="E16" s="5" t="n"/>
      <c r="F16" s="5" t="n"/>
      <c r="G16" s="5" t="n"/>
      <c r="H16" s="5" t="n"/>
    </row>
    <row r="17" ht="31.65" customHeight="1">
      <c r="A17" s="4" t="inlineStr">
        <is>
          <t>채용 시 교육 (일용·1주 이하 기간제, 투입 전)</t>
        </is>
      </c>
      <c r="B17" s="4" t="inlineStr">
        <is>
          <t>일용직</t>
        </is>
      </c>
      <c r="C17" s="4" t="inlineStr">
        <is>
          <t>1시간 이상</t>
        </is>
      </c>
      <c r="D17" s="5" t="n"/>
      <c r="E17" s="5" t="n"/>
      <c r="F17" s="5" t="n"/>
      <c r="G17" s="5" t="n"/>
      <c r="H17" s="5" t="n"/>
    </row>
    <row r="18" ht="31.65" customHeight="1">
      <c r="A18" s="4" t="inlineStr">
        <is>
          <t>작업내용 변경 시 교육</t>
        </is>
      </c>
      <c r="B18" s="4" t="inlineStr">
        <is>
          <t>작업 변경자</t>
        </is>
      </c>
      <c r="C18" s="4" t="inlineStr">
        <is>
          <t>2시간 이상 (일용·1주 이하 기간제 1시간 이상)</t>
        </is>
      </c>
      <c r="D18" s="5" t="n"/>
      <c r="E18" s="5" t="n"/>
      <c r="F18" s="5" t="n"/>
      <c r="G18" s="5" t="n"/>
      <c r="H18" s="5" t="n"/>
    </row>
    <row r="19" ht="44.475" customHeight="1">
      <c r="A19" s="4" t="inlineStr">
        <is>
          <t>특별교육 (정전·활선 등 전기작업)</t>
        </is>
      </c>
      <c r="B19" s="4" t="inlineStr">
        <is>
          <t>SF-01 지정 작업자</t>
        </is>
      </c>
      <c r="C19" s="4" t="inlineStr">
        <is>
          <t>16시간 이상 (최초 작업 전 4시간, 12시간은 3개월 내 분할) / 단기·간헐 2시간 / 일용 2시간</t>
        </is>
      </c>
      <c r="D19" s="5" t="n"/>
      <c r="E19" s="5" t="n"/>
      <c r="F19" s="5" t="n"/>
      <c r="G19" s="5" t="n"/>
      <c r="H19" s="5" t="n"/>
    </row>
    <row r="20" ht="31.65" customHeight="1">
      <c r="A20" s="4" t="inlineStr">
        <is>
          <t>특별교육 (크레인·호이스트 등 해당 시)</t>
        </is>
      </c>
      <c r="B20" s="4" t="inlineStr">
        <is>
          <t>해당 운전·신호자</t>
        </is>
      </c>
      <c r="C20" s="4" t="inlineStr">
        <is>
          <t>위와 같음</t>
        </is>
      </c>
      <c r="D20" s="5" t="n"/>
      <c r="E20" s="5" t="n"/>
      <c r="F20" s="5" t="n"/>
      <c r="G20" s="5" t="n"/>
      <c r="H20" s="5" t="n"/>
    </row>
    <row r="21" ht="22" customHeight="1">
      <c r="A21" s="4" t="inlineStr">
        <is>
          <t>관리감독자 정기교육</t>
        </is>
      </c>
      <c r="B21" s="4" t="inlineStr">
        <is>
          <t>관리감독자</t>
        </is>
      </c>
      <c r="C21" s="4" t="inlineStr">
        <is>
          <t>연간 16시간 이상</t>
        </is>
      </c>
      <c r="D21" s="5" t="n"/>
      <c r="E21" s="5" t="n"/>
      <c r="F21" s="5" t="n"/>
      <c r="G21" s="5" t="n"/>
      <c r="H21" s="5" t="n"/>
    </row>
    <row r="22" ht="22" customHeight="1">
      <c r="A22" s="4" t="inlineStr">
        <is>
          <t>안전보건관리담당자 보수교육</t>
        </is>
      </c>
      <c r="B22" s="4" t="inlineStr">
        <is>
          <t>왕리홍 대리</t>
        </is>
      </c>
      <c r="C22" s="4" t="inlineStr">
        <is>
          <t>8시간 이상 (주기는 MF-05 확인)</t>
        </is>
      </c>
      <c r="D22" s="5" t="n"/>
      <c r="E22" s="5" t="n"/>
      <c r="F22" s="5" t="n"/>
      <c r="G22" s="5" t="n"/>
      <c r="H22" s="5" t="n"/>
    </row>
    <row r="23" ht="31.65" customHeight="1">
      <c r="A23" s="4" t="inlineStr">
        <is>
          <t>직장 내 성희롱 예방교육 (남녀고용평등법 제13조)</t>
        </is>
      </c>
      <c r="B23" s="4" t="inlineStr">
        <is>
          <t>전 직원 (대표 포함)</t>
        </is>
      </c>
      <c r="C23" s="4" t="inlineStr">
        <is>
          <t>연 1회 이상</t>
        </is>
      </c>
      <c r="D23" s="5" t="n"/>
      <c r="E23" s="5" t="n"/>
      <c r="F23" s="5" t="n"/>
      <c r="G23" s="5" t="n"/>
      <c r="H23" s="5" t="n"/>
    </row>
    <row r="24" ht="31.65" customHeight="1">
      <c r="A24" s="4" t="inlineStr">
        <is>
          <t>장애인 인식개선 교육 (장애인고용촉진법 제5조의2)</t>
        </is>
      </c>
      <c r="B24" s="4" t="inlineStr">
        <is>
          <t>전 직원</t>
        </is>
      </c>
      <c r="C24" s="4" t="inlineStr">
        <is>
          <t>연 1회 이상</t>
        </is>
      </c>
      <c r="D24" s="5" t="n"/>
      <c r="E24" s="5" t="n"/>
      <c r="F24" s="5" t="n"/>
      <c r="G24" s="5" t="n"/>
      <c r="H24" s="5" t="n"/>
    </row>
    <row r="25" ht="22" customHeight="1">
      <c r="A25" s="5" t="n"/>
      <c r="B25" s="5" t="n"/>
      <c r="C25" s="5" t="n"/>
      <c r="D25" s="5" t="n"/>
      <c r="E25" s="5" t="n"/>
      <c r="F25" s="5" t="n"/>
      <c r="G25" s="5" t="n"/>
      <c r="H25" s="5" t="n"/>
    </row>
    <row r="26" ht="6" customHeight="1"/>
    <row r="27" ht="16" customHeight="1">
      <c r="A27" s="7" t="inlineStr">
        <is>
          <t>첨부·대체 기록 번호와 보관 경로 / 적용 제외(해당없음) 사유 / 미결 확인 :</t>
        </is>
      </c>
      <c r="B27" s="13" t="n"/>
      <c r="C27" s="13" t="n"/>
      <c r="D27" s="13" t="n"/>
      <c r="E27" s="8" t="inlineStr">
        <is>
          <t>구분</t>
        </is>
      </c>
      <c r="F27" s="8" t="inlineStr">
        <is>
          <t>작성</t>
        </is>
      </c>
      <c r="G27" s="8" t="inlineStr">
        <is>
          <t>검토</t>
        </is>
      </c>
      <c r="H27" s="8" t="inlineStr">
        <is>
          <t>승인</t>
        </is>
      </c>
    </row>
    <row r="28" ht="28" customHeight="1">
      <c r="A28" s="13" t="n"/>
      <c r="B28" s="13" t="n"/>
      <c r="C28" s="13" t="n"/>
      <c r="D28" s="13" t="n"/>
      <c r="E28" s="9" t="inlineStr">
        <is>
          <t>성명·서명</t>
        </is>
      </c>
      <c r="F28" s="10" t="n"/>
      <c r="G28" s="10" t="n"/>
      <c r="H28" s="10" t="n"/>
    </row>
    <row r="29" ht="16" customHeight="1">
      <c r="A29" s="13" t="n"/>
      <c r="B29" s="13" t="n"/>
      <c r="C29" s="13" t="n"/>
      <c r="D29" s="13" t="n"/>
      <c r="E29" s="9" t="inlineStr">
        <is>
          <t>일자</t>
        </is>
      </c>
      <c r="F29" s="10" t="n"/>
      <c r="G29" s="10" t="n"/>
      <c r="H29" s="10" t="n"/>
    </row>
  </sheetData>
  <mergeCells count="9">
    <mergeCell ref="A9:H9"/>
    <mergeCell ref="A3:H3"/>
    <mergeCell ref="B5:C5"/>
    <mergeCell ref="A2:H2"/>
    <mergeCell ref="A10:H10"/>
    <mergeCell ref="B6:H6"/>
    <mergeCell ref="B7:H7"/>
    <mergeCell ref="A27:D29"/>
    <mergeCell ref="E5:H5"/>
  </mergeCells>
  <printOptions horizontalCentered="1"/>
  <pageMargins left="0.45" right="0.45" top="0.5" bottom="0.55" header="0.25" footer="0.25"/>
  <pageSetup orientation="landscape" paperSize="9" fitToHeight="1" fitToWidth="1"/>
  <headerFooter>
    <oddHeader/>
    <oddFooter>&amp;C&amp;"Malgun Gothic"&amp;8 동인엔시스 | DI-SF-05 Rev.00 | 페이지 &amp;P / 전체 &amp;N</oddFooter>
    <evenHeader/>
    <evenFooter/>
    <firstHeader/>
    <firstFooter/>
  </headerFooter>
  <drawing xmlns:r="http://schemas.openxmlformats.org/officeDocument/2006/relationships" r:id="rId1"/>
</worksheet>
</file>

<file path=xl/worksheets/sheet27.xml><?xml version="1.0" encoding="utf-8"?>
<worksheet xmlns="http://schemas.openxmlformats.org/spreadsheetml/2006/main">
  <sheetPr>
    <outlinePr summaryBelow="1" summaryRight="1"/>
    <pageSetUpPr fitToPage="1"/>
  </sheetPr>
  <dimension ref="A2:H47"/>
  <sheetViews>
    <sheetView showGridLines="0" workbookViewId="0">
      <pane ySplit="13" topLeftCell="A14" activePane="bottomLeft" state="frozen"/>
      <selection pane="bottomLeft" activeCell="A1" sqref="A1"/>
    </sheetView>
  </sheetViews>
  <sheetFormatPr baseColWidth="8" defaultRowHeight="15"/>
  <cols>
    <col width="16.3" customWidth="1" min="1" max="1"/>
    <col width="21" customWidth="1" min="2" max="2"/>
    <col width="21" customWidth="1" min="3" max="3"/>
    <col width="10.5" customWidth="1" min="4" max="4"/>
    <col width="10.5" customWidth="1" min="5" max="5"/>
    <col width="12.8" customWidth="1" min="6" max="6"/>
    <col width="35" customWidth="1" min="7" max="7"/>
    <col width="12.8" customWidth="1" min="8" max="8"/>
  </cols>
  <sheetData>
    <row r="1" ht="22" customHeight="1"/>
    <row r="2" ht="28" customHeight="1">
      <c r="A2" s="1" t="inlineStr">
        <is>
          <t>건강진단 및 작업환경 관리대장</t>
        </is>
      </c>
      <c r="B2" s="1" t="n"/>
      <c r="C2" s="1" t="n"/>
      <c r="D2" s="1" t="n"/>
      <c r="E2" s="1" t="n"/>
      <c r="F2" s="1" t="n"/>
      <c r="G2" s="1" t="n"/>
      <c r="H2" s="1" t="n"/>
    </row>
    <row r="3" ht="16" customHeight="1">
      <c r="A3" s="2" t="inlineStr">
        <is>
          <t>동인엔시스 | DI-SF-06 | Rev.00 | 제정 2026.10.01 | 시행 2026.10.01 (대표 승인)   ·   담당: 경영관리 / 왕리홍 대리 | 작성: 매년 1월 대상자 확정 / 수검 후 / 연 1회 유해인자 판정</t>
        </is>
      </c>
      <c r="B3" s="2" t="n"/>
      <c r="C3" s="2" t="n"/>
      <c r="D3" s="2" t="n"/>
      <c r="E3" s="2" t="n"/>
      <c r="F3" s="2" t="n"/>
      <c r="G3" s="2" t="n"/>
      <c r="H3" s="2" t="n"/>
    </row>
    <row r="4" ht="4" customHeight="1"/>
    <row r="5" ht="20" customHeight="1">
      <c r="A5" s="12" t="inlineStr">
        <is>
          <t>관리연도</t>
        </is>
      </c>
      <c r="B5" s="10" t="n"/>
      <c r="C5" s="12" t="inlineStr">
        <is>
          <t>검진기관</t>
        </is>
      </c>
      <c r="D5" s="10" t="n"/>
      <c r="E5" s="10" t="n"/>
      <c r="F5" s="12" t="inlineStr">
        <is>
          <t>작성자</t>
        </is>
      </c>
      <c r="G5" s="10" t="n"/>
      <c r="H5" s="10" t="n"/>
    </row>
    <row r="6" ht="28.3" customHeight="1">
      <c r="A6" s="12" t="inlineStr">
        <is>
          <t>유해인자 판정자·일자</t>
        </is>
      </c>
      <c r="B6" s="10" t="n"/>
      <c r="C6" s="10" t="n"/>
      <c r="D6" s="10" t="n"/>
      <c r="E6" s="10" t="n"/>
      <c r="F6" s="10" t="n"/>
      <c r="G6" s="10" t="n"/>
      <c r="H6" s="10" t="n"/>
    </row>
    <row r="7" ht="52.6" customHeight="1">
      <c r="A7" s="12" t="inlineStr">
        <is>
          <t>유해인자 판정 (소음 / 분진 / 유기용제 / 기타): 노출 작업 유무·근거</t>
        </is>
      </c>
      <c r="B7" s="10" t="n"/>
      <c r="C7" s="10" t="n"/>
      <c r="D7" s="10" t="n"/>
      <c r="E7" s="10" t="n"/>
      <c r="F7" s="10" t="n"/>
      <c r="G7" s="10" t="n"/>
      <c r="H7" s="10" t="n"/>
    </row>
    <row r="8" ht="52.6" customHeight="1">
      <c r="A8" s="12" t="inlineStr">
        <is>
          <t>노출 작업 시: 특수·배치전 대상자 / 작업환경측정 기관·측정일·결과 조치</t>
        </is>
      </c>
      <c r="B8" s="10" t="n"/>
      <c r="C8" s="10" t="n"/>
      <c r="D8" s="10" t="n"/>
      <c r="E8" s="10" t="n"/>
      <c r="F8" s="10" t="n"/>
      <c r="G8" s="10" t="n"/>
      <c r="H8" s="10" t="n"/>
    </row>
    <row r="9" ht="5" customHeight="1"/>
    <row r="10" ht="14.15" customHeight="1">
      <c r="A10" s="2" t="inlineStr">
        <is>
          <t>일반건강진단: 사무직 2년 1회, 제조·시험·시운전 인원 연 1회 이상. 국민건강보험 일반건강검진 수검으로 갈음할 수 있다(수검 확인 증빙 보관).</t>
        </is>
      </c>
      <c r="B10" s="2" t="n"/>
      <c r="C10" s="2" t="n"/>
      <c r="D10" s="2" t="n"/>
      <c r="E10" s="2" t="n"/>
      <c r="F10" s="2" t="n"/>
      <c r="G10" s="2" t="n"/>
      <c r="H10" s="2" t="n"/>
    </row>
    <row r="11" ht="14.15" customHeight="1">
      <c r="A11" s="2" t="inlineStr">
        <is>
          <t>검진 결과표는 개인정보로 분리 보관하고 이 대장에는 수검 여부와 사후관리만 적는다. 결과 관련 서류는 5년 이상 보존한다.</t>
        </is>
      </c>
      <c r="B11" s="2" t="n"/>
      <c r="C11" s="2" t="n"/>
      <c r="D11" s="2" t="n"/>
      <c r="E11" s="2" t="n"/>
      <c r="F11" s="2" t="n"/>
      <c r="G11" s="2" t="n"/>
      <c r="H11" s="2" t="n"/>
    </row>
    <row r="12" ht="5" customHeight="1"/>
    <row r="13" ht="26" customHeight="1">
      <c r="A13" s="3" t="inlineStr">
        <is>
          <t>성명(사번)</t>
        </is>
      </c>
      <c r="B13" s="3" t="inlineStr">
        <is>
          <t>직무 구분</t>
        </is>
      </c>
      <c r="C13" s="3" t="inlineStr">
        <is>
          <t>검진 종류</t>
        </is>
      </c>
      <c r="D13" s="3" t="inlineStr">
        <is>
          <t>주기</t>
        </is>
      </c>
      <c r="E13" s="3" t="inlineStr">
        <is>
          <t>예정 월</t>
        </is>
      </c>
      <c r="F13" s="3" t="inlineStr">
        <is>
          <t>수검일</t>
        </is>
      </c>
      <c r="G13" s="3" t="inlineStr">
        <is>
          <t>사후관리 필요·조치</t>
        </is>
      </c>
      <c r="H13" s="3" t="inlineStr">
        <is>
          <t>확인</t>
        </is>
      </c>
    </row>
    <row r="14" ht="20" customHeight="1">
      <c r="A14" s="5" t="n"/>
      <c r="B14" s="6" t="n"/>
      <c r="C14" s="6" t="n"/>
      <c r="D14" s="6" t="n"/>
      <c r="E14" s="5" t="n"/>
      <c r="F14" s="5" t="n"/>
      <c r="G14" s="5" t="n"/>
      <c r="H14" s="5" t="n"/>
    </row>
    <row r="15" ht="20" customHeight="1">
      <c r="A15" s="5" t="n"/>
      <c r="B15" s="6" t="n"/>
      <c r="C15" s="6" t="n"/>
      <c r="D15" s="6" t="n"/>
      <c r="E15" s="5" t="n"/>
      <c r="F15" s="5" t="n"/>
      <c r="G15" s="5" t="n"/>
      <c r="H15" s="5" t="n"/>
    </row>
    <row r="16" ht="20" customHeight="1">
      <c r="A16" s="5" t="n"/>
      <c r="B16" s="6" t="n"/>
      <c r="C16" s="6" t="n"/>
      <c r="D16" s="6" t="n"/>
      <c r="E16" s="5" t="n"/>
      <c r="F16" s="5" t="n"/>
      <c r="G16" s="5" t="n"/>
      <c r="H16" s="5" t="n"/>
    </row>
    <row r="17" ht="20" customHeight="1">
      <c r="A17" s="5" t="n"/>
      <c r="B17" s="6" t="n"/>
      <c r="C17" s="6" t="n"/>
      <c r="D17" s="6" t="n"/>
      <c r="E17" s="5" t="n"/>
      <c r="F17" s="5" t="n"/>
      <c r="G17" s="5" t="n"/>
      <c r="H17" s="5" t="n"/>
    </row>
    <row r="18" ht="20" customHeight="1">
      <c r="A18" s="5" t="n"/>
      <c r="B18" s="6" t="n"/>
      <c r="C18" s="6" t="n"/>
      <c r="D18" s="6" t="n"/>
      <c r="E18" s="5" t="n"/>
      <c r="F18" s="5" t="n"/>
      <c r="G18" s="5" t="n"/>
      <c r="H18" s="5" t="n"/>
    </row>
    <row r="19" ht="20" customHeight="1">
      <c r="A19" s="5" t="n"/>
      <c r="B19" s="6" t="n"/>
      <c r="C19" s="6" t="n"/>
      <c r="D19" s="6" t="n"/>
      <c r="E19" s="5" t="n"/>
      <c r="F19" s="5" t="n"/>
      <c r="G19" s="5" t="n"/>
      <c r="H19" s="5" t="n"/>
    </row>
    <row r="20" ht="20" customHeight="1">
      <c r="A20" s="5" t="n"/>
      <c r="B20" s="6" t="n"/>
      <c r="C20" s="6" t="n"/>
      <c r="D20" s="6" t="n"/>
      <c r="E20" s="5" t="n"/>
      <c r="F20" s="5" t="n"/>
      <c r="G20" s="5" t="n"/>
      <c r="H20" s="5" t="n"/>
    </row>
    <row r="21" ht="20" customHeight="1">
      <c r="A21" s="5" t="n"/>
      <c r="B21" s="6" t="n"/>
      <c r="C21" s="6" t="n"/>
      <c r="D21" s="6" t="n"/>
      <c r="E21" s="5" t="n"/>
      <c r="F21" s="5" t="n"/>
      <c r="G21" s="5" t="n"/>
      <c r="H21" s="5" t="n"/>
    </row>
    <row r="22" ht="20" customHeight="1">
      <c r="A22" s="5" t="n"/>
      <c r="B22" s="6" t="n"/>
      <c r="C22" s="6" t="n"/>
      <c r="D22" s="6" t="n"/>
      <c r="E22" s="5" t="n"/>
      <c r="F22" s="5" t="n"/>
      <c r="G22" s="5" t="n"/>
      <c r="H22" s="5" t="n"/>
    </row>
    <row r="23" ht="20" customHeight="1">
      <c r="A23" s="5" t="n"/>
      <c r="B23" s="6" t="n"/>
      <c r="C23" s="6" t="n"/>
      <c r="D23" s="6" t="n"/>
      <c r="E23" s="5" t="n"/>
      <c r="F23" s="5" t="n"/>
      <c r="G23" s="5" t="n"/>
      <c r="H23" s="5" t="n"/>
    </row>
    <row r="24" ht="20" customHeight="1">
      <c r="A24" s="5" t="n"/>
      <c r="B24" s="6" t="n"/>
      <c r="C24" s="6" t="n"/>
      <c r="D24" s="6" t="n"/>
      <c r="E24" s="5" t="n"/>
      <c r="F24" s="5" t="n"/>
      <c r="G24" s="5" t="n"/>
      <c r="H24" s="5" t="n"/>
    </row>
    <row r="25" ht="20" customHeight="1">
      <c r="A25" s="5" t="n"/>
      <c r="B25" s="6" t="n"/>
      <c r="C25" s="6" t="n"/>
      <c r="D25" s="6" t="n"/>
      <c r="E25" s="5" t="n"/>
      <c r="F25" s="5" t="n"/>
      <c r="G25" s="5" t="n"/>
      <c r="H25" s="5" t="n"/>
    </row>
    <row r="26" ht="20" customHeight="1">
      <c r="A26" s="5" t="n"/>
      <c r="B26" s="6" t="n"/>
      <c r="C26" s="6" t="n"/>
      <c r="D26" s="6" t="n"/>
      <c r="E26" s="5" t="n"/>
      <c r="F26" s="5" t="n"/>
      <c r="G26" s="5" t="n"/>
      <c r="H26" s="5" t="n"/>
    </row>
    <row r="27" ht="20" customHeight="1">
      <c r="A27" s="5" t="n"/>
      <c r="B27" s="6" t="n"/>
      <c r="C27" s="6" t="n"/>
      <c r="D27" s="6" t="n"/>
      <c r="E27" s="5" t="n"/>
      <c r="F27" s="5" t="n"/>
      <c r="G27" s="5" t="n"/>
      <c r="H27" s="5" t="n"/>
    </row>
    <row r="28" ht="20" customHeight="1">
      <c r="A28" s="5" t="n"/>
      <c r="B28" s="6" t="n"/>
      <c r="C28" s="6" t="n"/>
      <c r="D28" s="6" t="n"/>
      <c r="E28" s="5" t="n"/>
      <c r="F28" s="5" t="n"/>
      <c r="G28" s="5" t="n"/>
      <c r="H28" s="5" t="n"/>
    </row>
    <row r="29" ht="20" customHeight="1">
      <c r="A29" s="5" t="n"/>
      <c r="B29" s="6" t="n"/>
      <c r="C29" s="6" t="n"/>
      <c r="D29" s="6" t="n"/>
      <c r="E29" s="5" t="n"/>
      <c r="F29" s="5" t="n"/>
      <c r="G29" s="5" t="n"/>
      <c r="H29" s="5" t="n"/>
    </row>
    <row r="30" ht="20" customHeight="1">
      <c r="A30" s="5" t="n"/>
      <c r="B30" s="6" t="n"/>
      <c r="C30" s="6" t="n"/>
      <c r="D30" s="6" t="n"/>
      <c r="E30" s="5" t="n"/>
      <c r="F30" s="5" t="n"/>
      <c r="G30" s="5" t="n"/>
      <c r="H30" s="5" t="n"/>
    </row>
    <row r="31" ht="20" customHeight="1">
      <c r="A31" s="5" t="n"/>
      <c r="B31" s="6" t="n"/>
      <c r="C31" s="6" t="n"/>
      <c r="D31" s="6" t="n"/>
      <c r="E31" s="5" t="n"/>
      <c r="F31" s="5" t="n"/>
      <c r="G31" s="5" t="n"/>
      <c r="H31" s="5" t="n"/>
    </row>
    <row r="32" ht="20" customHeight="1">
      <c r="A32" s="5" t="n"/>
      <c r="B32" s="6" t="n"/>
      <c r="C32" s="6" t="n"/>
      <c r="D32" s="6" t="n"/>
      <c r="E32" s="5" t="n"/>
      <c r="F32" s="5" t="n"/>
      <c r="G32" s="5" t="n"/>
      <c r="H32" s="5" t="n"/>
    </row>
    <row r="33" ht="20" customHeight="1">
      <c r="A33" s="5" t="n"/>
      <c r="B33" s="6" t="n"/>
      <c r="C33" s="6" t="n"/>
      <c r="D33" s="6" t="n"/>
      <c r="E33" s="5" t="n"/>
      <c r="F33" s="5" t="n"/>
      <c r="G33" s="5" t="n"/>
      <c r="H33" s="5" t="n"/>
    </row>
    <row r="34" ht="20" customHeight="1">
      <c r="A34" s="5" t="n"/>
      <c r="B34" s="6" t="n"/>
      <c r="C34" s="6" t="n"/>
      <c r="D34" s="6" t="n"/>
      <c r="E34" s="5" t="n"/>
      <c r="F34" s="5" t="n"/>
      <c r="G34" s="5" t="n"/>
      <c r="H34" s="5" t="n"/>
    </row>
    <row r="35" ht="20" customHeight="1">
      <c r="A35" s="5" t="n"/>
      <c r="B35" s="6" t="n"/>
      <c r="C35" s="6" t="n"/>
      <c r="D35" s="6" t="n"/>
      <c r="E35" s="5" t="n"/>
      <c r="F35" s="5" t="n"/>
      <c r="G35" s="5" t="n"/>
      <c r="H35" s="5" t="n"/>
    </row>
    <row r="36" ht="20" customHeight="1">
      <c r="A36" s="5" t="n"/>
      <c r="B36" s="6" t="n"/>
      <c r="C36" s="6" t="n"/>
      <c r="D36" s="6" t="n"/>
      <c r="E36" s="5" t="n"/>
      <c r="F36" s="5" t="n"/>
      <c r="G36" s="5" t="n"/>
      <c r="H36" s="5" t="n"/>
    </row>
    <row r="37" ht="20" customHeight="1">
      <c r="A37" s="5" t="n"/>
      <c r="B37" s="6" t="n"/>
      <c r="C37" s="6" t="n"/>
      <c r="D37" s="6" t="n"/>
      <c r="E37" s="5" t="n"/>
      <c r="F37" s="5" t="n"/>
      <c r="G37" s="5" t="n"/>
      <c r="H37" s="5" t="n"/>
    </row>
    <row r="38" ht="20" customHeight="1">
      <c r="A38" s="5" t="n"/>
      <c r="B38" s="6" t="n"/>
      <c r="C38" s="6" t="n"/>
      <c r="D38" s="6" t="n"/>
      <c r="E38" s="5" t="n"/>
      <c r="F38" s="5" t="n"/>
      <c r="G38" s="5" t="n"/>
      <c r="H38" s="5" t="n"/>
    </row>
    <row r="39" ht="20" customHeight="1">
      <c r="A39" s="5" t="n"/>
      <c r="B39" s="6" t="n"/>
      <c r="C39" s="6" t="n"/>
      <c r="D39" s="6" t="n"/>
      <c r="E39" s="5" t="n"/>
      <c r="F39" s="5" t="n"/>
      <c r="G39" s="5" t="n"/>
      <c r="H39" s="5" t="n"/>
    </row>
    <row r="40" ht="20" customHeight="1">
      <c r="A40" s="5" t="n"/>
      <c r="B40" s="6" t="n"/>
      <c r="C40" s="6" t="n"/>
      <c r="D40" s="6" t="n"/>
      <c r="E40" s="5" t="n"/>
      <c r="F40" s="5" t="n"/>
      <c r="G40" s="5" t="n"/>
      <c r="H40" s="5" t="n"/>
    </row>
    <row r="41" ht="20" customHeight="1">
      <c r="A41" s="5" t="n"/>
      <c r="B41" s="6" t="n"/>
      <c r="C41" s="6" t="n"/>
      <c r="D41" s="6" t="n"/>
      <c r="E41" s="5" t="n"/>
      <c r="F41" s="5" t="n"/>
      <c r="G41" s="5" t="n"/>
      <c r="H41" s="5" t="n"/>
    </row>
    <row r="42" ht="20" customHeight="1">
      <c r="A42" s="5" t="n"/>
      <c r="B42" s="6" t="n"/>
      <c r="C42" s="6" t="n"/>
      <c r="D42" s="6" t="n"/>
      <c r="E42" s="5" t="n"/>
      <c r="F42" s="5" t="n"/>
      <c r="G42" s="5" t="n"/>
      <c r="H42" s="5" t="n"/>
    </row>
    <row r="43" ht="20" customHeight="1">
      <c r="A43" s="5" t="n"/>
      <c r="B43" s="6" t="n"/>
      <c r="C43" s="6" t="n"/>
      <c r="D43" s="6" t="n"/>
      <c r="E43" s="5" t="n"/>
      <c r="F43" s="5" t="n"/>
      <c r="G43" s="5" t="n"/>
      <c r="H43" s="5" t="n"/>
    </row>
    <row r="44" ht="6" customHeight="1"/>
    <row r="45" ht="16" customHeight="1">
      <c r="A45" s="7" t="inlineStr">
        <is>
          <t>첨부·대체 기록 번호와 보관 경로 / 적용 제외(해당없음) 사유 / 미결 확인 :</t>
        </is>
      </c>
      <c r="B45" s="13" t="n"/>
      <c r="C45" s="13" t="n"/>
      <c r="D45" s="13" t="n"/>
      <c r="E45" s="8" t="inlineStr">
        <is>
          <t>구분</t>
        </is>
      </c>
      <c r="F45" s="8" t="inlineStr">
        <is>
          <t>작성</t>
        </is>
      </c>
      <c r="G45" s="8" t="inlineStr">
        <is>
          <t>검토</t>
        </is>
      </c>
      <c r="H45" s="8" t="inlineStr">
        <is>
          <t>승인</t>
        </is>
      </c>
    </row>
    <row r="46" ht="28" customHeight="1">
      <c r="A46" s="13" t="n"/>
      <c r="B46" s="13" t="n"/>
      <c r="C46" s="13" t="n"/>
      <c r="D46" s="13" t="n"/>
      <c r="E46" s="9" t="inlineStr">
        <is>
          <t>성명·서명</t>
        </is>
      </c>
      <c r="F46" s="10" t="n"/>
      <c r="G46" s="10" t="n"/>
      <c r="H46" s="10" t="n"/>
    </row>
    <row r="47" ht="16" customHeight="1">
      <c r="A47" s="13" t="n"/>
      <c r="B47" s="13" t="n"/>
      <c r="C47" s="13" t="n"/>
      <c r="D47" s="13" t="n"/>
      <c r="E47" s="9" t="inlineStr">
        <is>
          <t>일자</t>
        </is>
      </c>
      <c r="F47" s="10" t="n"/>
      <c r="G47" s="10" t="n"/>
      <c r="H47" s="10" t="n"/>
    </row>
  </sheetData>
  <mergeCells count="10">
    <mergeCell ref="B8:H8"/>
    <mergeCell ref="A3:H3"/>
    <mergeCell ref="A45:D47"/>
    <mergeCell ref="A2:H2"/>
    <mergeCell ref="D5:E5"/>
    <mergeCell ref="A10:H10"/>
    <mergeCell ref="G5:H5"/>
    <mergeCell ref="B6:H6"/>
    <mergeCell ref="A11:H11"/>
    <mergeCell ref="B7:H7"/>
  </mergeCells>
  <conditionalFormatting sqref="B14:B43">
    <cfRule type="expression" priority="1" dxfId="0">
      <formula>OR(B14="불합격",B14="보류",B14="부적합",B14="미흡",B14="미준수",B14="미확인",B14="실패",B14="사용금지",B14="중지·개선",B14="재교육·동행",B14="C 발주중지",B14="중요")</formula>
    </cfRule>
  </conditionalFormatting>
  <conditionalFormatting sqref="C14:C43">
    <cfRule type="expression" priority="2" dxfId="0">
      <formula>OR(C14="불합격",C14="보류",C14="부적합",C14="미흡",C14="미준수",C14="미확인",C14="실패",C14="사용금지",C14="중지·개선",C14="재교육·동행",C14="C 발주중지",C14="중요")</formula>
    </cfRule>
  </conditionalFormatting>
  <conditionalFormatting sqref="D14:D43">
    <cfRule type="expression" priority="3" dxfId="0">
      <formula>OR(D14="불합격",D14="보류",D14="부적합",D14="미흡",D14="미준수",D14="미확인",D14="실패",D14="사용금지",D14="중지·개선",D14="재교육·동행",D14="C 발주중지",D14="중요")</formula>
    </cfRule>
  </conditionalFormatting>
  <dataValidations count="3">
    <dataValidation sqref="B14:B43" showDropDown="0" showInputMessage="0" showErrorMessage="0" allowBlank="1" error="목록에서 고르십시오: 사무직, 제조·시험·시운전, 기타" type="list" errorStyle="warning">
      <formula1>"사무직,제조·시험·시운전,기타"</formula1>
    </dataValidation>
    <dataValidation sqref="C14:C43" showDropDown="0" showInputMessage="0" showErrorMessage="0" allowBlank="1" error="목록에서 고르십시오: 일반(국가검진 갈음), 일반(사업장), 배치전, 특수" type="list" errorStyle="warning">
      <formula1>"일반(국가검진 갈음),일반(사업장),배치전,특수"</formula1>
    </dataValidation>
    <dataValidation sqref="D14:D43" showDropDown="0" showInputMessage="0" showErrorMessage="0" allowBlank="1" error="목록에서 고르십시오: 1년, 2년" type="list" errorStyle="warning">
      <formula1>"1년,2년"</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DI-SF-06 Rev.00 | 페이지 &amp;P / 전체 &amp;N</oddFooter>
    <evenHeader/>
    <evenFooter/>
    <firstHeader/>
    <firstFooter/>
  </headerFooter>
  <drawing xmlns:r="http://schemas.openxmlformats.org/officeDocument/2006/relationships" r:id="rId1"/>
</worksheet>
</file>

<file path=xl/worksheets/sheet28.xml><?xml version="1.0" encoding="utf-8"?>
<worksheet xmlns="http://schemas.openxmlformats.org/spreadsheetml/2006/main">
  <sheetPr>
    <outlinePr summaryBelow="1" summaryRight="1"/>
    <pageSetUpPr fitToPage="1"/>
  </sheetPr>
  <dimension ref="A2:H24"/>
  <sheetViews>
    <sheetView showGridLines="0" workbookViewId="0">
      <selection activeCell="A1" sqref="A1"/>
    </sheetView>
  </sheetViews>
  <sheetFormatPr baseColWidth="8" defaultRowHeight="15"/>
  <cols>
    <col width="27.1" customWidth="1" min="1" max="1"/>
    <col width="24.8" customWidth="1" min="2" max="2"/>
    <col width="14.7" customWidth="1" min="3" max="3"/>
    <col width="14.7" customWidth="1" min="4" max="4"/>
    <col width="10.2" customWidth="1" min="5" max="5"/>
    <col width="15.8" customWidth="1" min="6" max="6"/>
    <col width="20.3" customWidth="1" min="7" max="7"/>
    <col width="12.4" customWidth="1" min="8" max="8"/>
  </cols>
  <sheetData>
    <row r="1" ht="22" customHeight="1"/>
    <row r="2" ht="28" customHeight="1">
      <c r="A2" s="1" t="inlineStr">
        <is>
          <t>안전보건 예산 편성 및 집행</t>
        </is>
      </c>
      <c r="B2" s="1" t="n"/>
      <c r="C2" s="1" t="n"/>
      <c r="D2" s="1" t="n"/>
      <c r="E2" s="1" t="n"/>
      <c r="F2" s="1" t="n"/>
      <c r="G2" s="1" t="n"/>
      <c r="H2" s="1" t="n"/>
    </row>
    <row r="3" ht="26.3" customHeight="1">
      <c r="A3" s="2" t="inlineStr">
        <is>
          <t>동인엔시스 | DI-SF-07 | Rev.00 | 제정 2026.10.01 | 시행 2026.10.01 (대표 승인)   ·   담당: 대표이사 / 왕리홍 대리 / 경영관리 | 작성: 매년 1월 편성 / 반기 집행 확인 (SF-08 때) / 추가 필요 시</t>
        </is>
      </c>
      <c r="B3" s="2" t="n"/>
      <c r="C3" s="2" t="n"/>
      <c r="D3" s="2" t="n"/>
      <c r="E3" s="2" t="n"/>
      <c r="F3" s="2" t="n"/>
      <c r="G3" s="2" t="n"/>
      <c r="H3" s="2" t="n"/>
    </row>
    <row r="4" ht="4" customHeight="1"/>
    <row r="5" ht="20" customHeight="1">
      <c r="A5" s="12" t="inlineStr">
        <is>
          <t>관리연도</t>
        </is>
      </c>
      <c r="B5" s="10" t="n"/>
      <c r="C5" s="10" t="n"/>
      <c r="D5" s="12" t="inlineStr">
        <is>
          <t>승인자·승인일</t>
        </is>
      </c>
      <c r="E5" s="10" t="n"/>
      <c r="F5" s="10" t="n"/>
      <c r="G5" s="10" t="n"/>
      <c r="H5" s="10" t="n"/>
    </row>
    <row r="6" ht="28.3" customHeight="1">
      <c r="A6" s="12" t="inlineStr">
        <is>
          <t>반기 집행 확인일 (6·12월, SF-08) / 확인자</t>
        </is>
      </c>
      <c r="B6" s="10" t="n"/>
      <c r="C6" s="10" t="n"/>
      <c r="D6" s="10" t="n"/>
      <c r="E6" s="10" t="n"/>
      <c r="F6" s="10" t="n"/>
      <c r="G6" s="10" t="n"/>
      <c r="H6" s="10" t="n"/>
    </row>
    <row r="7" ht="28.3" customHeight="1">
      <c r="A7" s="12" t="inlineStr">
        <is>
          <t>추가 예산 요청 내용 / 요청자 / 승인자·일자</t>
        </is>
      </c>
      <c r="B7" s="10" t="n"/>
      <c r="C7" s="10" t="n"/>
      <c r="D7" s="10" t="n"/>
      <c r="E7" s="10" t="n"/>
      <c r="F7" s="10" t="n"/>
      <c r="G7" s="10" t="n"/>
      <c r="H7" s="10" t="n"/>
    </row>
    <row r="8" ht="5" customHeight="1"/>
    <row r="9" ht="26.3" customHeight="1">
      <c r="A9" s="2" t="inlineStr">
        <is>
          <t>위험성평가 개선대책(SF-01), 반기 점검 미흡(SF-08), 근로자 의견(MF-06)에서 나온 개선 비용을 우선 반영한다. 편성한 예산은 용도대로 집행하고, 미집행·용도 변경 시 사유와 승인자를 기록한다.</t>
        </is>
      </c>
      <c r="B9" s="2" t="n"/>
      <c r="C9" s="2" t="n"/>
      <c r="D9" s="2" t="n"/>
      <c r="E9" s="2" t="n"/>
      <c r="F9" s="2" t="n"/>
      <c r="G9" s="2" t="n"/>
      <c r="H9" s="2" t="n"/>
    </row>
    <row r="10" ht="5" customHeight="1"/>
    <row r="11" ht="26" customHeight="1">
      <c r="A11" s="3" t="inlineStr">
        <is>
          <t>항목</t>
        </is>
      </c>
      <c r="B11" s="3" t="inlineStr">
        <is>
          <t>세부 내용</t>
        </is>
      </c>
      <c r="C11" s="3" t="inlineStr">
        <is>
          <t>편성액(원)</t>
        </is>
      </c>
      <c r="D11" s="3" t="inlineStr">
        <is>
          <t>집행액(원)</t>
        </is>
      </c>
      <c r="E11" s="3" t="inlineStr">
        <is>
          <t>집행률</t>
        </is>
      </c>
      <c r="F11" s="3" t="inlineStr">
        <is>
          <t>집행일·증빙</t>
        </is>
      </c>
      <c r="G11" s="3" t="inlineStr">
        <is>
          <t>미집행 사유·조치</t>
        </is>
      </c>
      <c r="H11" s="3" t="inlineStr">
        <is>
          <t>관련 기록</t>
        </is>
      </c>
    </row>
    <row r="12" ht="31.65" customHeight="1">
      <c r="A12" s="4" t="inlineStr">
        <is>
          <t>보호구 (절연장갑·안전화·보안경 등)</t>
        </is>
      </c>
      <c r="B12" s="5" t="n"/>
      <c r="C12" s="15" t="n"/>
      <c r="D12" s="15" t="n"/>
      <c r="E12" s="16">
        <f>IF(OR(C12="",D12="",C12=0),"",D12/C12)</f>
        <v/>
      </c>
      <c r="F12" s="5" t="n"/>
      <c r="G12" s="5" t="n"/>
      <c r="H12" s="5" t="n"/>
    </row>
    <row r="13" ht="24" customHeight="1">
      <c r="A13" s="4" t="inlineStr">
        <is>
          <t>안전보건교육 (외부 교육·강사)</t>
        </is>
      </c>
      <c r="B13" s="5" t="n"/>
      <c r="C13" s="15" t="n"/>
      <c r="D13" s="15" t="n"/>
      <c r="E13" s="16">
        <f>IF(OR(C13="",D13="",C13=0),"",D13/C13)</f>
        <v/>
      </c>
      <c r="F13" s="5" t="n"/>
      <c r="G13" s="5" t="n"/>
      <c r="H13" s="5" t="n"/>
    </row>
    <row r="14" ht="24" customHeight="1">
      <c r="A14" s="4" t="inlineStr">
        <is>
          <t>건강진단·작업환경측정</t>
        </is>
      </c>
      <c r="B14" s="5" t="n"/>
      <c r="C14" s="15" t="n"/>
      <c r="D14" s="15" t="n"/>
      <c r="E14" s="16">
        <f>IF(OR(C14="",D14="",C14=0),"",D14/C14)</f>
        <v/>
      </c>
      <c r="F14" s="5" t="n"/>
      <c r="G14" s="5" t="n"/>
      <c r="H14" s="5" t="n"/>
    </row>
    <row r="15" ht="24" customHeight="1">
      <c r="A15" s="4" t="inlineStr">
        <is>
          <t>시설·설비 개선 (위험성평가 대책)</t>
        </is>
      </c>
      <c r="B15" s="5" t="n"/>
      <c r="C15" s="15" t="n"/>
      <c r="D15" s="15" t="n"/>
      <c r="E15" s="16">
        <f>IF(OR(C15="",D15="",C15=0),"",D15/C15)</f>
        <v/>
      </c>
      <c r="F15" s="5" t="n"/>
      <c r="G15" s="5" t="n"/>
      <c r="H15" s="5" t="n"/>
    </row>
    <row r="16" ht="31.65" customHeight="1">
      <c r="A16" s="4" t="inlineStr">
        <is>
          <t>전기 안전 장비 (LOTO 키트·검전기·절연공구)</t>
        </is>
      </c>
      <c r="B16" s="5" t="n"/>
      <c r="C16" s="15" t="n"/>
      <c r="D16" s="15" t="n"/>
      <c r="E16" s="16">
        <f>IF(OR(C16="",D16="",C16=0),"",D16/C16)</f>
        <v/>
      </c>
      <c r="F16" s="5" t="n"/>
      <c r="G16" s="5" t="n"/>
      <c r="H16" s="5" t="n"/>
    </row>
    <row r="17" ht="24" customHeight="1">
      <c r="A17" s="4" t="inlineStr">
        <is>
          <t>비상대응 (소화기·구급함·훈련)</t>
        </is>
      </c>
      <c r="B17" s="5" t="n"/>
      <c r="C17" s="15" t="n"/>
      <c r="D17" s="15" t="n"/>
      <c r="E17" s="16">
        <f>IF(OR(C17="",D17="",C17=0),"",D17/C17)</f>
        <v/>
      </c>
      <c r="F17" s="5" t="n"/>
      <c r="G17" s="5" t="n"/>
      <c r="H17" s="5" t="n"/>
    </row>
    <row r="18" ht="24" customHeight="1">
      <c r="A18" s="4" t="inlineStr">
        <is>
          <t>관리담당자 위탁·외부 컨설팅</t>
        </is>
      </c>
      <c r="B18" s="5" t="n"/>
      <c r="C18" s="15" t="n"/>
      <c r="D18" s="15" t="n"/>
      <c r="E18" s="16">
        <f>IF(OR(C18="",D18="",C18=0),"",D18/C18)</f>
        <v/>
      </c>
      <c r="F18" s="5" t="n"/>
      <c r="G18" s="5" t="n"/>
      <c r="H18" s="5" t="n"/>
    </row>
    <row r="19" ht="24" customHeight="1">
      <c r="A19" s="4" t="inlineStr">
        <is>
          <t>기타</t>
        </is>
      </c>
      <c r="B19" s="5" t="n"/>
      <c r="C19" s="15" t="n"/>
      <c r="D19" s="15" t="n"/>
      <c r="E19" s="16">
        <f>IF(OR(C19="",D19="",C19=0),"",D19/C19)</f>
        <v/>
      </c>
      <c r="F19" s="5" t="n"/>
      <c r="G19" s="5" t="n"/>
      <c r="H19" s="5" t="n"/>
    </row>
    <row r="20" ht="24" customHeight="1">
      <c r="A20" s="17" t="inlineStr">
        <is>
          <t>합계</t>
        </is>
      </c>
      <c r="B20" s="17" t="n"/>
      <c r="C20" s="18">
        <f>SUM(C12:C19)</f>
        <v/>
      </c>
      <c r="D20" s="18">
        <f>SUM(D12:D19)</f>
        <v/>
      </c>
      <c r="E20" s="19">
        <f>IF(C20=0,"",D20/C20)</f>
        <v/>
      </c>
      <c r="F20" s="4" t="n"/>
      <c r="G20" s="4" t="n"/>
      <c r="H20" s="4" t="n"/>
    </row>
    <row r="21" ht="6" customHeight="1"/>
    <row r="22" ht="16" customHeight="1">
      <c r="A22" s="7" t="inlineStr">
        <is>
          <t>첨부·대체 기록 번호와 보관 경로 / 적용 제외(해당없음) 사유 / 미결 확인 :</t>
        </is>
      </c>
      <c r="B22" s="13" t="n"/>
      <c r="C22" s="13" t="n"/>
      <c r="D22" s="13" t="n"/>
      <c r="E22" s="8" t="inlineStr">
        <is>
          <t>구분</t>
        </is>
      </c>
      <c r="F22" s="8" t="inlineStr">
        <is>
          <t>작성</t>
        </is>
      </c>
      <c r="G22" s="8" t="inlineStr">
        <is>
          <t>검토</t>
        </is>
      </c>
      <c r="H22" s="8" t="inlineStr">
        <is>
          <t>승인</t>
        </is>
      </c>
    </row>
    <row r="23" ht="28" customHeight="1">
      <c r="A23" s="13" t="n"/>
      <c r="B23" s="13" t="n"/>
      <c r="C23" s="13" t="n"/>
      <c r="D23" s="13" t="n"/>
      <c r="E23" s="9" t="inlineStr">
        <is>
          <t>성명·서명</t>
        </is>
      </c>
      <c r="F23" s="10" t="n"/>
      <c r="G23" s="10" t="n"/>
      <c r="H23" s="10" t="n"/>
    </row>
    <row r="24" ht="16" customHeight="1">
      <c r="A24" s="13" t="n"/>
      <c r="B24" s="13" t="n"/>
      <c r="C24" s="13" t="n"/>
      <c r="D24" s="13" t="n"/>
      <c r="E24" s="9" t="inlineStr">
        <is>
          <t>일자</t>
        </is>
      </c>
      <c r="F24" s="10" t="n"/>
      <c r="G24" s="10" t="n"/>
      <c r="H24" s="10" t="n"/>
    </row>
  </sheetData>
  <mergeCells count="10">
    <mergeCell ref="A9:H9"/>
    <mergeCell ref="F20:H20"/>
    <mergeCell ref="A20:B20"/>
    <mergeCell ref="A3:H3"/>
    <mergeCell ref="B5:C5"/>
    <mergeCell ref="A2:H2"/>
    <mergeCell ref="B6:H6"/>
    <mergeCell ref="B7:H7"/>
    <mergeCell ref="E5:H5"/>
    <mergeCell ref="A22:D24"/>
  </mergeCells>
  <conditionalFormatting sqref="E12:E19">
    <cfRule type="expression" priority="1" dxfId="0">
      <formula>OR(E12="불합격",E12="보류",E12="부적합",E12="미흡",E12="미준수",E12="미확인",E12="실패",E12="사용금지",E12="중지·개선",E12="재교육·동행",E12="C 발주중지",E12="중요")</formula>
    </cfRule>
  </conditionalFormatting>
  <printOptions horizontalCentered="1"/>
  <pageMargins left="0.45" right="0.45" top="0.5" bottom="0.55" header="0.25" footer="0.25"/>
  <pageSetup orientation="landscape" paperSize="9" fitToHeight="1" fitToWidth="1"/>
  <headerFooter>
    <oddHeader/>
    <oddFooter>&amp;C&amp;"Malgun Gothic"&amp;8 동인엔시스 | DI-SF-07 Rev.00 | 페이지 &amp;P / 전체 &amp;N</oddFooter>
    <evenHeader/>
    <evenFooter/>
    <firstHeader/>
    <firstFooter/>
  </headerFooter>
  <drawing xmlns:r="http://schemas.openxmlformats.org/officeDocument/2006/relationships" r:id="rId1"/>
</worksheet>
</file>

<file path=xl/worksheets/sheet29.xml><?xml version="1.0" encoding="utf-8"?>
<worksheet xmlns="http://schemas.openxmlformats.org/spreadsheetml/2006/main">
  <sheetPr>
    <outlinePr summaryBelow="1" summaryRight="1"/>
    <pageSetUpPr fitToPage="1"/>
  </sheetPr>
  <dimension ref="A2:H27"/>
  <sheetViews>
    <sheetView showGridLines="0" workbookViewId="0">
      <selection activeCell="A1" sqref="A1"/>
    </sheetView>
  </sheetViews>
  <sheetFormatPr baseColWidth="8" defaultRowHeight="15"/>
  <cols>
    <col width="24.6" customWidth="1" min="1" max="1"/>
    <col width="29.1" customWidth="1" min="2" max="2"/>
    <col width="15.7" customWidth="1" min="3" max="3"/>
    <col width="10.1" customWidth="1" min="4" max="4"/>
    <col width="17.9" customWidth="1" min="5" max="5"/>
    <col width="17.9" customWidth="1" min="6" max="6"/>
    <col width="11.2" customWidth="1" min="7" max="7"/>
    <col width="13.4" customWidth="1" min="8" max="8"/>
  </cols>
  <sheetData>
    <row r="1" ht="22" customHeight="1"/>
    <row r="2" ht="28" customHeight="1">
      <c r="A2" s="1" t="inlineStr">
        <is>
          <t>반기 안전보건 이행점검</t>
        </is>
      </c>
      <c r="B2" s="1" t="n"/>
      <c r="C2" s="1" t="n"/>
      <c r="D2" s="1" t="n"/>
      <c r="E2" s="1" t="n"/>
      <c r="F2" s="1" t="n"/>
      <c r="G2" s="1" t="n"/>
      <c r="H2" s="1" t="n"/>
    </row>
    <row r="3" ht="16" customHeight="1">
      <c r="A3" s="2" t="inlineStr">
        <is>
          <t>동인엔시스 | DI-SF-08 | Rev.00 | 제정 2026.10.01 | 시행 2026.10.01 (대표 승인)   ·   담당: 왕리홍 대리 / 대표이사 | 작성: 6월·12월(반기 1회) / 중대재해·중대한 변경 후 추가</t>
        </is>
      </c>
      <c r="B3" s="2" t="n"/>
      <c r="C3" s="2" t="n"/>
      <c r="D3" s="2" t="n"/>
      <c r="E3" s="2" t="n"/>
      <c r="F3" s="2" t="n"/>
      <c r="G3" s="2" t="n"/>
      <c r="H3" s="2" t="n"/>
    </row>
    <row r="4" ht="4" customHeight="1"/>
    <row r="5" ht="20" customHeight="1">
      <c r="A5" s="12" t="inlineStr">
        <is>
          <t>점검 기간</t>
        </is>
      </c>
      <c r="B5" s="10" t="n"/>
      <c r="C5" s="12" t="inlineStr">
        <is>
          <t>점검일</t>
        </is>
      </c>
      <c r="D5" s="10" t="n"/>
      <c r="E5" s="10" t="n"/>
      <c r="F5" s="12" t="inlineStr">
        <is>
          <t>점검자</t>
        </is>
      </c>
      <c r="G5" s="10" t="n"/>
      <c r="H5" s="10" t="n"/>
    </row>
    <row r="6" ht="20" customHeight="1">
      <c r="A6" s="12" t="inlineStr">
        <is>
          <t>대표 보고일·확인</t>
        </is>
      </c>
      <c r="B6" s="10" t="n"/>
      <c r="C6" s="10" t="n"/>
      <c r="D6" s="10" t="n"/>
      <c r="E6" s="10" t="n"/>
      <c r="F6" s="10" t="n"/>
      <c r="G6" s="10" t="n"/>
      <c r="H6" s="10" t="n"/>
    </row>
    <row r="7" ht="40.45" customHeight="1">
      <c r="A7" s="12" t="inlineStr">
        <is>
          <t>게시·표지: 법령 요지 / 안전보건표지 / 비상연락망 / MSDS·경고표시 — 위치·상태</t>
        </is>
      </c>
      <c r="B7" s="10" t="n"/>
      <c r="C7" s="10" t="n"/>
      <c r="D7" s="10" t="n"/>
      <c r="E7" s="10" t="n"/>
      <c r="F7" s="10" t="n"/>
      <c r="G7" s="10" t="n"/>
      <c r="H7" s="10" t="n"/>
    </row>
    <row r="8" ht="40.45" customHeight="1">
      <c r="A8" s="12" t="inlineStr">
        <is>
          <t>휴게시설 (산업안전보건법 제128조의2, 20명 이상): 설치·면적·온도·조명·환기·관리담당</t>
        </is>
      </c>
      <c r="B8" s="10" t="n"/>
      <c r="C8" s="10" t="n"/>
      <c r="D8" s="10" t="n"/>
      <c r="E8" s="10" t="n"/>
      <c r="F8" s="10" t="n"/>
      <c r="G8" s="10" t="n"/>
      <c r="H8" s="10" t="n"/>
    </row>
    <row r="9" ht="40.45" customHeight="1">
      <c r="A9" s="12" t="inlineStr">
        <is>
          <t>기계·기구(사용 시): 크레인·호이스트·지게차 검사·점검·운전자격 / 전기설비 접지·누전차단기</t>
        </is>
      </c>
      <c r="B9" s="10" t="n"/>
      <c r="C9" s="10" t="n"/>
      <c r="D9" s="10" t="n"/>
      <c r="E9" s="10" t="n"/>
      <c r="F9" s="10" t="n"/>
      <c r="G9" s="10" t="n"/>
      <c r="H9" s="10" t="n"/>
    </row>
    <row r="10" ht="5" customHeight="1"/>
    <row r="11" ht="26.3" customHeight="1">
      <c r="A11" s="2" t="inlineStr">
        <is>
          <t>중대재해처벌법 시행령 제4조·제5조의 이행 항목을 반기마다 점검하여 대표에게 보고한다. 판정(적합/부분/미흡)에는 근거 기록 번호를 함께 적는다. 미흡은 QF-09로 조치하고 SF-07 예산에 반영한다.</t>
        </is>
      </c>
      <c r="B11" s="2" t="n"/>
      <c r="C11" s="2" t="n"/>
      <c r="D11" s="2" t="n"/>
      <c r="E11" s="2" t="n"/>
      <c r="F11" s="2" t="n"/>
      <c r="G11" s="2" t="n"/>
      <c r="H11" s="2" t="n"/>
    </row>
    <row r="12" ht="5" customHeight="1"/>
    <row r="13" ht="26" customHeight="1">
      <c r="A13" s="3" t="inlineStr">
        <is>
          <t>점검 항목</t>
        </is>
      </c>
      <c r="B13" s="3" t="inlineStr">
        <is>
          <t>확인 기준</t>
        </is>
      </c>
      <c r="C13" s="3" t="inlineStr">
        <is>
          <t>근거 기록</t>
        </is>
      </c>
      <c r="D13" s="3" t="inlineStr">
        <is>
          <t>판정</t>
        </is>
      </c>
      <c r="E13" s="3" t="inlineStr">
        <is>
          <t>미흡 내용</t>
        </is>
      </c>
      <c r="F13" s="3" t="inlineStr">
        <is>
          <t>조치·담당</t>
        </is>
      </c>
      <c r="G13" s="3" t="inlineStr">
        <is>
          <t>기한</t>
        </is>
      </c>
      <c r="H13" s="3" t="inlineStr">
        <is>
          <t>완료 확인</t>
        </is>
      </c>
    </row>
    <row r="14" ht="22" customHeight="1">
      <c r="A14" s="4" t="inlineStr">
        <is>
          <t>안전보건 방침·목표 (MF-03)</t>
        </is>
      </c>
      <c r="B14" s="4" t="inlineStr">
        <is>
          <t>방침 게시·공유, 목표 실적 확인</t>
        </is>
      </c>
      <c r="C14" s="5" t="n"/>
      <c r="D14" s="6" t="n"/>
      <c r="E14" s="5" t="n"/>
      <c r="F14" s="5" t="n"/>
      <c r="G14" s="5" t="n"/>
      <c r="H14" s="5" t="n"/>
    </row>
    <row r="15" ht="31.65" customHeight="1">
      <c r="A15" s="4" t="inlineStr">
        <is>
          <t>유해·위험요인 확인·개선 (SF-01)</t>
        </is>
      </c>
      <c r="B15" s="4" t="inlineStr">
        <is>
          <t>반기 점검, 6~9 위험 개선 완료</t>
        </is>
      </c>
      <c r="C15" s="5" t="n"/>
      <c r="D15" s="6" t="n"/>
      <c r="E15" s="5" t="n"/>
      <c r="F15" s="5" t="n"/>
      <c r="G15" s="5" t="n"/>
      <c r="H15" s="5" t="n"/>
    </row>
    <row r="16" ht="31.65" customHeight="1">
      <c r="A16" s="4" t="inlineStr">
        <is>
          <t>안전보건 예산 편성·집행 (SF-07)</t>
        </is>
      </c>
      <c r="B16" s="4" t="inlineStr">
        <is>
          <t>용도대로 집행, 미집행 사유</t>
        </is>
      </c>
      <c r="C16" s="5" t="n"/>
      <c r="D16" s="6" t="n"/>
      <c r="E16" s="5" t="n"/>
      <c r="F16" s="5" t="n"/>
      <c r="G16" s="5" t="n"/>
      <c r="H16" s="5" t="n"/>
    </row>
    <row r="17" ht="31.65" customHeight="1">
      <c r="A17" s="4" t="inlineStr">
        <is>
          <t>관리담당자·관리감독자 지정·평가 (SF-04)</t>
        </is>
      </c>
      <c r="B17" s="4" t="inlineStr">
        <is>
          <t>선임·지정 유효, 반기 평가 실시</t>
        </is>
      </c>
      <c r="C17" s="5" t="n"/>
      <c r="D17" s="6" t="n"/>
      <c r="E17" s="5" t="n"/>
      <c r="F17" s="5" t="n"/>
      <c r="G17" s="5" t="n"/>
      <c r="H17" s="5" t="n"/>
    </row>
    <row r="18" ht="31.65" customHeight="1">
      <c r="A18" s="4" t="inlineStr">
        <is>
          <t>종사자 의견 청취·조치 (MF-06)</t>
        </is>
      </c>
      <c r="B18" s="4" t="inlineStr">
        <is>
          <t>분기 1회 협의, 조치 회신</t>
        </is>
      </c>
      <c r="C18" s="5" t="n"/>
      <c r="D18" s="6" t="n"/>
      <c r="E18" s="5" t="n"/>
      <c r="F18" s="5" t="n"/>
      <c r="G18" s="5" t="n"/>
      <c r="H18" s="5" t="n"/>
    </row>
    <row r="19" ht="31.65" customHeight="1">
      <c r="A19" s="4" t="inlineStr">
        <is>
          <t>재해 대응 절차·비상훈련 (SF-10·MF-06)</t>
        </is>
      </c>
      <c r="B19" s="4" t="inlineStr">
        <is>
          <t>대응 절차 게시, 연 1회 훈련</t>
        </is>
      </c>
      <c r="C19" s="5" t="n"/>
      <c r="D19" s="6" t="n"/>
      <c r="E19" s="5" t="n"/>
      <c r="F19" s="5" t="n"/>
      <c r="G19" s="5" t="n"/>
      <c r="H19" s="5" t="n"/>
    </row>
    <row r="20" ht="31.65" customHeight="1">
      <c r="A20" s="4" t="inlineStr">
        <is>
          <t>외주 안전보건 확보 (SF-09·SF-03)</t>
        </is>
      </c>
      <c r="B20" s="4" t="inlineStr">
        <is>
          <t>선정 전 평가, 작업 전 협의</t>
        </is>
      </c>
      <c r="C20" s="5" t="n"/>
      <c r="D20" s="6" t="n"/>
      <c r="E20" s="5" t="n"/>
      <c r="F20" s="5" t="n"/>
      <c r="G20" s="5" t="n"/>
      <c r="H20" s="5" t="n"/>
    </row>
    <row r="21" ht="31.65" customHeight="1">
      <c r="A21" s="4" t="inlineStr">
        <is>
          <t>교육·건강진단 (SF-05·SF-06)</t>
        </is>
      </c>
      <c r="B21" s="4" t="inlineStr">
        <is>
          <t>반기 이수율·미이수 보충, 수검 현황</t>
        </is>
      </c>
      <c r="C21" s="5" t="n"/>
      <c r="D21" s="6" t="n"/>
      <c r="E21" s="5" t="n"/>
      <c r="F21" s="5" t="n"/>
      <c r="G21" s="5" t="n"/>
      <c r="H21" s="5" t="n"/>
    </row>
    <row r="22" ht="22" customHeight="1">
      <c r="A22" s="4" t="inlineStr">
        <is>
          <t>목표 반기 실적 (MF-03)</t>
        </is>
      </c>
      <c r="B22" s="4" t="inlineStr">
        <is>
          <t>지표 실적·미달 조치</t>
        </is>
      </c>
      <c r="C22" s="5" t="n"/>
      <c r="D22" s="6" t="n"/>
      <c r="E22" s="5" t="n"/>
      <c r="F22" s="5" t="n"/>
      <c r="G22" s="5" t="n"/>
      <c r="H22" s="5" t="n"/>
    </row>
    <row r="23" ht="31.65" customHeight="1">
      <c r="A23" s="4" t="inlineStr">
        <is>
          <t>안전·보건 관계 법령 이행 (MF-05)</t>
        </is>
      </c>
      <c r="B23" s="4" t="inlineStr">
        <is>
          <t>의무별 준수 상태, 미준수 조치</t>
        </is>
      </c>
      <c r="C23" s="5" t="n"/>
      <c r="D23" s="6" t="n"/>
      <c r="E23" s="5" t="n"/>
      <c r="F23" s="5" t="n"/>
      <c r="G23" s="5" t="n"/>
      <c r="H23" s="5" t="n"/>
    </row>
    <row r="24" ht="6" customHeight="1"/>
    <row r="25" ht="16" customHeight="1">
      <c r="A25" s="7" t="inlineStr">
        <is>
          <t>첨부·대체 기록 번호와 보관 경로 / 적용 제외(해당없음) 사유 / 미결 확인 :</t>
        </is>
      </c>
      <c r="B25" s="13" t="n"/>
      <c r="C25" s="13" t="n"/>
      <c r="D25" s="13" t="n"/>
      <c r="E25" s="8" t="inlineStr">
        <is>
          <t>구분</t>
        </is>
      </c>
      <c r="F25" s="8" t="inlineStr">
        <is>
          <t>작성</t>
        </is>
      </c>
      <c r="G25" s="8" t="inlineStr">
        <is>
          <t>검토</t>
        </is>
      </c>
      <c r="H25" s="8" t="inlineStr">
        <is>
          <t>승인</t>
        </is>
      </c>
    </row>
    <row r="26" ht="28" customHeight="1">
      <c r="A26" s="13" t="n"/>
      <c r="B26" s="13" t="n"/>
      <c r="C26" s="13" t="n"/>
      <c r="D26" s="13" t="n"/>
      <c r="E26" s="9" t="inlineStr">
        <is>
          <t>성명·서명</t>
        </is>
      </c>
      <c r="F26" s="10" t="n"/>
      <c r="G26" s="10" t="n"/>
      <c r="H26" s="10" t="n"/>
    </row>
    <row r="27" ht="16" customHeight="1">
      <c r="A27" s="13" t="n"/>
      <c r="B27" s="13" t="n"/>
      <c r="C27" s="13" t="n"/>
      <c r="D27" s="13" t="n"/>
      <c r="E27" s="9" t="inlineStr">
        <is>
          <t>일자</t>
        </is>
      </c>
      <c r="F27" s="10" t="n"/>
      <c r="G27" s="10" t="n"/>
      <c r="H27" s="10" t="n"/>
    </row>
  </sheetData>
  <mergeCells count="10">
    <mergeCell ref="B8:H8"/>
    <mergeCell ref="A3:H3"/>
    <mergeCell ref="B9:H9"/>
    <mergeCell ref="A25:D27"/>
    <mergeCell ref="A2:H2"/>
    <mergeCell ref="D5:E5"/>
    <mergeCell ref="G5:H5"/>
    <mergeCell ref="B6:H6"/>
    <mergeCell ref="A11:H11"/>
    <mergeCell ref="B7:H7"/>
  </mergeCells>
  <conditionalFormatting sqref="D14:D23">
    <cfRule type="expression" priority="1" dxfId="0">
      <formula>OR(D14="불합격",D14="보류",D14="부적합",D14="미흡",D14="미준수",D14="미확인",D14="실패",D14="사용금지",D14="중지·개선",D14="재교육·동행",D14="C 발주중지",D14="중요")</formula>
    </cfRule>
  </conditionalFormatting>
  <dataValidations count="1">
    <dataValidation sqref="D14:D23" showDropDown="0" showInputMessage="0" showErrorMessage="0" allowBlank="1" error="목록에서 고르십시오: 적합, 부분, 미흡" type="list" errorStyle="warning">
      <formula1>"적합,부분,미흡"</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DI-SF-08 Rev.00 | 페이지 &amp;P / 전체 &amp;N</oddFooter>
    <evenHeader/>
    <evenFooter/>
    <firstHeader/>
    <firstFooter/>
  </headerFooter>
  <drawing xmlns:r="http://schemas.openxmlformats.org/officeDocument/2006/relationships" r:id="rId1"/>
</worksheet>
</file>

<file path=xl/worksheets/sheet30.xml><?xml version="1.0" encoding="utf-8"?>
<worksheet xmlns="http://schemas.openxmlformats.org/spreadsheetml/2006/main">
  <sheetPr>
    <outlinePr summaryBelow="1" summaryRight="1"/>
    <pageSetUpPr fitToPage="1"/>
  </sheetPr>
  <dimension ref="A2:H25"/>
  <sheetViews>
    <sheetView showGridLines="0" workbookViewId="0">
      <selection activeCell="A1" sqref="A1"/>
    </sheetView>
  </sheetViews>
  <sheetFormatPr baseColWidth="8" defaultRowHeight="15"/>
  <cols>
    <col width="27.1" customWidth="1" min="1" max="1"/>
    <col width="29.4" customWidth="1" min="2" max="2"/>
    <col width="10.2" customWidth="1" min="3" max="3"/>
    <col width="6.8" customWidth="1" min="4" max="4"/>
    <col width="12.4" customWidth="1" min="5" max="5"/>
    <col width="20.3" customWidth="1" min="6" max="6"/>
    <col width="20.3" customWidth="1" min="7" max="7"/>
    <col width="13.5" customWidth="1" min="8" max="8"/>
  </cols>
  <sheetData>
    <row r="1" ht="22" customHeight="1"/>
    <row r="2" ht="28" customHeight="1">
      <c r="A2" s="1" t="inlineStr">
        <is>
          <t>외주(수급인) 안전보건 역량 평가</t>
        </is>
      </c>
      <c r="B2" s="1" t="n"/>
      <c r="C2" s="1" t="n"/>
      <c r="D2" s="1" t="n"/>
      <c r="E2" s="1" t="n"/>
      <c r="F2" s="1" t="n"/>
      <c r="G2" s="1" t="n"/>
      <c r="H2" s="1" t="n"/>
    </row>
    <row r="3" ht="16" customHeight="1">
      <c r="A3" s="2" t="inlineStr">
        <is>
          <t>동인엔시스 | DI-SF-09 | Rev.00 | 제정 2026.10.01 | 시행 2026.10.01 (대표 승인)   ·   담당: 생산관리 / 왕리홍 대리 | 작성: 신규 외주 선정 전 / 연 1회 / 사고·중대한 문제 시</t>
        </is>
      </c>
      <c r="B3" s="2" t="n"/>
      <c r="C3" s="2" t="n"/>
      <c r="D3" s="2" t="n"/>
      <c r="E3" s="2" t="n"/>
      <c r="F3" s="2" t="n"/>
      <c r="G3" s="2" t="n"/>
      <c r="H3" s="2" t="n"/>
    </row>
    <row r="4" ht="4" customHeight="1"/>
    <row r="5" ht="20" customHeight="1">
      <c r="A5" s="12" t="inlineStr">
        <is>
          <t>업체명</t>
        </is>
      </c>
      <c r="B5" s="10" t="n"/>
      <c r="C5" s="10" t="n"/>
      <c r="D5" s="12" t="inlineStr">
        <is>
          <t>평가일</t>
        </is>
      </c>
      <c r="E5" s="10" t="n"/>
      <c r="F5" s="10" t="n"/>
      <c r="G5" s="10" t="n"/>
      <c r="H5" s="10" t="n"/>
    </row>
    <row r="6" ht="28.3" customHeight="1">
      <c r="A6" s="12" t="inlineStr">
        <is>
          <t>작업 내용 (외함 제작·현장 배선·기타)</t>
        </is>
      </c>
      <c r="B6" s="10" t="n"/>
      <c r="C6" s="10" t="n"/>
      <c r="D6" s="12" t="inlineStr">
        <is>
          <t>작업 장소 (당사·고객 현장)</t>
        </is>
      </c>
      <c r="E6" s="12" t="n"/>
      <c r="F6" s="10" t="n"/>
      <c r="G6" s="10" t="n"/>
      <c r="H6" s="10" t="n"/>
    </row>
    <row r="7" ht="20" customHeight="1">
      <c r="A7" s="12" t="inlineStr">
        <is>
          <t>평가자</t>
        </is>
      </c>
      <c r="B7" s="10" t="n"/>
      <c r="C7" s="10" t="n"/>
      <c r="D7" s="12" t="inlineStr">
        <is>
          <t>조건·개선 요구 / 기한</t>
        </is>
      </c>
      <c r="E7" s="12" t="n"/>
      <c r="F7" s="10" t="n"/>
      <c r="G7" s="10" t="n"/>
      <c r="H7" s="10" t="n"/>
    </row>
    <row r="8" ht="5" customHeight="1"/>
    <row r="9" ht="26.3" customHeight="1">
      <c r="A9" s="2" t="inlineStr">
        <is>
          <t>QF-10(품질·납기 평가)과 함께 실시한다. 점수: 2 충족 / 1 일부 / 0 미흡. 판정은 자동 계산: 적합(12점 이상)·조건부(8~11점)·부적합(7점 이하 또는 필수★ 0점). 부적합 업체는 개선을 확인하기 전 발주하지 않는다.</t>
        </is>
      </c>
      <c r="B9" s="2" t="n"/>
      <c r="C9" s="2" t="n"/>
      <c r="D9" s="2" t="n"/>
      <c r="E9" s="2" t="n"/>
      <c r="F9" s="2" t="n"/>
      <c r="G9" s="2" t="n"/>
      <c r="H9" s="2" t="n"/>
    </row>
    <row r="10" ht="14.15" customHeight="1">
      <c r="A10" s="2" t="inlineStr">
        <is>
          <t>당사 사업장 내 작업 시: 작업 전 SF-03 협의, 작업 중 순회 확인(일자·확인자), 작업 종료 확인을 남긴다.</t>
        </is>
      </c>
      <c r="B10" s="2" t="n"/>
      <c r="C10" s="2" t="n"/>
      <c r="D10" s="2" t="n"/>
      <c r="E10" s="2" t="n"/>
      <c r="F10" s="2" t="n"/>
      <c r="G10" s="2" t="n"/>
      <c r="H10" s="2" t="n"/>
    </row>
    <row r="11" ht="5" customHeight="1"/>
    <row r="12" ht="31.65" customHeight="1">
      <c r="A12" s="3" t="inlineStr">
        <is>
          <t>평가 항목</t>
        </is>
      </c>
      <c r="B12" s="3" t="inlineStr">
        <is>
          <t>확인 방법·증빙</t>
        </is>
      </c>
      <c r="C12" s="3" t="inlineStr">
        <is>
          <t>점수 (0~2)</t>
        </is>
      </c>
      <c r="D12" s="3" t="inlineStr">
        <is>
          <t>필수</t>
        </is>
      </c>
      <c r="E12" s="3" t="inlineStr">
        <is>
          <t>확인자</t>
        </is>
      </c>
      <c r="F12" s="3" t="inlineStr">
        <is>
          <t>의견</t>
        </is>
      </c>
      <c r="G12" s="3" t="inlineStr">
        <is>
          <t>개선 요구</t>
        </is>
      </c>
      <c r="H12" s="3" t="inlineStr">
        <is>
          <t>재확인</t>
        </is>
      </c>
    </row>
    <row r="13" ht="24" customHeight="1">
      <c r="A13" s="4" t="inlineStr">
        <is>
          <t>안전보건 책임자·비상 연락체계</t>
        </is>
      </c>
      <c r="B13" s="4" t="inlineStr">
        <is>
          <t>책임자 지정·비상연락망</t>
        </is>
      </c>
      <c r="C13" s="6" t="n"/>
      <c r="D13" s="6" t="n"/>
      <c r="E13" s="5" t="n"/>
      <c r="F13" s="5" t="n"/>
      <c r="G13" s="5" t="n"/>
      <c r="H13" s="5" t="n"/>
    </row>
    <row r="14" ht="24" customHeight="1">
      <c r="A14" s="4" t="inlineStr">
        <is>
          <t>작업자 안전보건교육 실시</t>
        </is>
      </c>
      <c r="B14" s="4" t="inlineStr">
        <is>
          <t>교육 일지·이수증</t>
        </is>
      </c>
      <c r="C14" s="6" t="n"/>
      <c r="D14" s="11" t="inlineStr">
        <is>
          <t>★</t>
        </is>
      </c>
      <c r="E14" s="5" t="n"/>
      <c r="F14" s="5" t="n"/>
      <c r="G14" s="5" t="n"/>
      <c r="H14" s="5" t="n"/>
    </row>
    <row r="15" ht="31.65" customHeight="1">
      <c r="A15" s="4" t="inlineStr">
        <is>
          <t>작업 위험요인 파악 (위험성평가 등)</t>
        </is>
      </c>
      <c r="B15" s="4" t="inlineStr">
        <is>
          <t>위험성평가서·작업계획</t>
        </is>
      </c>
      <c r="C15" s="6" t="n"/>
      <c r="D15" s="11" t="inlineStr">
        <is>
          <t>★</t>
        </is>
      </c>
      <c r="E15" s="5" t="n"/>
      <c r="F15" s="5" t="n"/>
      <c r="G15" s="5" t="n"/>
      <c r="H15" s="5" t="n"/>
    </row>
    <row r="16" ht="24" customHeight="1">
      <c r="A16" s="4" t="inlineStr">
        <is>
          <t>전기작업 자격·보호구·절연공구</t>
        </is>
      </c>
      <c r="B16" s="4" t="inlineStr">
        <is>
          <t>자격증·보호구 지급·점검 기록</t>
        </is>
      </c>
      <c r="C16" s="6" t="n"/>
      <c r="D16" s="11" t="inlineStr">
        <is>
          <t>★</t>
        </is>
      </c>
      <c r="E16" s="5" t="n"/>
      <c r="F16" s="5" t="n"/>
      <c r="G16" s="5" t="n"/>
      <c r="H16" s="5" t="n"/>
    </row>
    <row r="17" ht="24" customHeight="1">
      <c r="A17" s="4" t="inlineStr">
        <is>
          <t>산업재해 이력·재발방지</t>
        </is>
      </c>
      <c r="B17" s="4" t="inlineStr">
        <is>
          <t>최근 3년 재해 현황·대책</t>
        </is>
      </c>
      <c r="C17" s="6" t="n"/>
      <c r="D17" s="6" t="n"/>
      <c r="E17" s="5" t="n"/>
      <c r="F17" s="5" t="n"/>
      <c r="G17" s="5" t="n"/>
      <c r="H17" s="5" t="n"/>
    </row>
    <row r="18" ht="24" customHeight="1">
      <c r="A18" s="4" t="inlineStr">
        <is>
          <t>작업계획서·비상 대응 방법</t>
        </is>
      </c>
      <c r="B18" s="4" t="inlineStr">
        <is>
          <t>작업계획서·비상조치 절차</t>
        </is>
      </c>
      <c r="C18" s="6" t="n"/>
      <c r="D18" s="6" t="n"/>
      <c r="E18" s="5" t="n"/>
      <c r="F18" s="5" t="n"/>
      <c r="G18" s="5" t="n"/>
      <c r="H18" s="5" t="n"/>
    </row>
    <row r="19" ht="24" customHeight="1">
      <c r="A19" s="4" t="inlineStr">
        <is>
          <t>산재보험 등 보험 가입</t>
        </is>
      </c>
      <c r="B19" s="4" t="inlineStr">
        <is>
          <t>가입 증명서</t>
        </is>
      </c>
      <c r="C19" s="6" t="n"/>
      <c r="D19" s="6" t="n"/>
      <c r="E19" s="5" t="n"/>
      <c r="F19" s="5" t="n"/>
      <c r="G19" s="5" t="n"/>
      <c r="H19" s="5" t="n"/>
    </row>
    <row r="20" ht="24" customHeight="1">
      <c r="A20" s="4" t="inlineStr">
        <is>
          <t>당사 안전수칙·SF-03 이행 확약</t>
        </is>
      </c>
      <c r="B20" s="4" t="inlineStr">
        <is>
          <t>서명된 확약서</t>
        </is>
      </c>
      <c r="C20" s="6" t="n"/>
      <c r="D20" s="6" t="n"/>
      <c r="E20" s="5" t="n"/>
      <c r="F20" s="5" t="n"/>
      <c r="G20" s="5" t="n"/>
      <c r="H20" s="5" t="n"/>
    </row>
    <row r="21" ht="26" customHeight="1">
      <c r="A21" s="17" t="inlineStr">
        <is>
          <t>총점 (16점 만점)</t>
        </is>
      </c>
      <c r="B21" s="17" t="n"/>
      <c r="C21" s="20">
        <f>IF(COUNT(C13:C20)=0,"",SUM(C13:C20))</f>
        <v/>
      </c>
      <c r="D21" s="20" t="n"/>
      <c r="E21" s="17" t="inlineStr">
        <is>
          <t>판정</t>
        </is>
      </c>
      <c r="F21" s="20">
        <f>IF(COUNT(C13:C20)&lt;8,"모든 항목 평가 후 판정",IF(COUNTIFS(D13:D20,"★",C13:C20,0)&gt;0,"부적합 (필수 0점)",IF(SUM(C13:C20)&gt;=12,"적합",IF(SUM(C13:C20)&gt;=8,"조건부","부적합"))))</f>
        <v/>
      </c>
      <c r="G21" s="20" t="n"/>
      <c r="H21" s="20" t="n"/>
    </row>
    <row r="22" ht="6" customHeight="1"/>
    <row r="23" ht="16" customHeight="1">
      <c r="A23" s="7" t="inlineStr">
        <is>
          <t>첨부·대체 기록 번호와 보관 경로 / 적용 제외(해당없음) 사유 / 미결 확인 :</t>
        </is>
      </c>
      <c r="B23" s="13" t="n"/>
      <c r="C23" s="13" t="n"/>
      <c r="D23" s="13" t="n"/>
      <c r="E23" s="8" t="inlineStr">
        <is>
          <t>구분</t>
        </is>
      </c>
      <c r="F23" s="8" t="inlineStr">
        <is>
          <t>작성</t>
        </is>
      </c>
      <c r="G23" s="8" t="inlineStr">
        <is>
          <t>검토</t>
        </is>
      </c>
      <c r="H23" s="8" t="inlineStr">
        <is>
          <t>승인</t>
        </is>
      </c>
    </row>
    <row r="24" ht="28" customHeight="1">
      <c r="A24" s="13" t="n"/>
      <c r="B24" s="13" t="n"/>
      <c r="C24" s="13" t="n"/>
      <c r="D24" s="13" t="n"/>
      <c r="E24" s="9" t="inlineStr">
        <is>
          <t>성명·서명</t>
        </is>
      </c>
      <c r="F24" s="10" t="n"/>
      <c r="G24" s="10" t="n"/>
      <c r="H24" s="10" t="n"/>
    </row>
    <row r="25" ht="16" customHeight="1">
      <c r="A25" s="13" t="n"/>
      <c r="B25" s="13" t="n"/>
      <c r="C25" s="13" t="n"/>
      <c r="D25" s="13" t="n"/>
      <c r="E25" s="9" t="inlineStr">
        <is>
          <t>일자</t>
        </is>
      </c>
      <c r="F25" s="10" t="n"/>
      <c r="G25" s="10" t="n"/>
      <c r="H25" s="10" t="n"/>
    </row>
  </sheetData>
  <mergeCells count="16">
    <mergeCell ref="A9:H9"/>
    <mergeCell ref="D6:E6"/>
    <mergeCell ref="B6:C6"/>
    <mergeCell ref="A3:H3"/>
    <mergeCell ref="A21:B21"/>
    <mergeCell ref="F6:H6"/>
    <mergeCell ref="D7:E7"/>
    <mergeCell ref="B7:C7"/>
    <mergeCell ref="C21:D21"/>
    <mergeCell ref="B5:C5"/>
    <mergeCell ref="A2:H2"/>
    <mergeCell ref="A10:H10"/>
    <mergeCell ref="F7:H7"/>
    <mergeCell ref="A23:D25"/>
    <mergeCell ref="F21:H21"/>
    <mergeCell ref="E5:H5"/>
  </mergeCells>
  <conditionalFormatting sqref="C13:C20">
    <cfRule type="expression" priority="1" dxfId="0">
      <formula>OR(C13="불합격",C13="보류",C13="부적합",C13="미흡",C13="미준수",C13="미확인",C13="실패",C13="사용금지",C13="중지·개선",C13="재교육·동행",C13="C 발주중지",C13="중요")</formula>
    </cfRule>
  </conditionalFormatting>
  <dataValidations count="1">
    <dataValidation sqref="C13:C20" showDropDown="0" showInputMessage="0" showErrorMessage="0" allowBlank="1" error="0~2 사이 정수를 입력하십시오." type="whole" operator="between">
      <formula1>0</formula1>
      <formula2>2</formula2>
    </dataValidation>
  </dataValidations>
  <printOptions horizontalCentered="1"/>
  <pageMargins left="0.45" right="0.45" top="0.5" bottom="0.55" header="0.25" footer="0.25"/>
  <pageSetup orientation="landscape" paperSize="9" fitToHeight="1" fitToWidth="1"/>
  <headerFooter>
    <oddHeader/>
    <oddFooter>&amp;C&amp;"Malgun Gothic"&amp;8 동인엔시스 | DI-SF-09 Rev.00 | 페이지 &amp;P / 전체 &amp;N</oddFooter>
    <evenHeader/>
    <evenFooter/>
    <firstHeader/>
    <firstFooter/>
  </headerFooter>
  <drawing xmlns:r="http://schemas.openxmlformats.org/officeDocument/2006/relationships" r:id="rId1"/>
</worksheet>
</file>

<file path=xl/worksheets/sheet31.xml><?xml version="1.0" encoding="utf-8"?>
<worksheet xmlns="http://schemas.openxmlformats.org/spreadsheetml/2006/main">
  <sheetPr>
    <outlinePr summaryBelow="1" summaryRight="1"/>
    <pageSetUpPr fitToPage="1"/>
  </sheetPr>
  <dimension ref="A2:H27"/>
  <sheetViews>
    <sheetView showGridLines="0" workbookViewId="0">
      <selection activeCell="A1" sqref="A1"/>
    </sheetView>
  </sheetViews>
  <sheetFormatPr baseColWidth="8" defaultRowHeight="15"/>
  <cols>
    <col width="24.8" customWidth="1" min="1" max="1"/>
    <col width="22.6" customWidth="1" min="2" max="2"/>
    <col width="14.7" customWidth="1" min="3" max="3"/>
    <col width="12.4" customWidth="1" min="4" max="4"/>
    <col width="24.8" customWidth="1" min="5" max="5"/>
    <col width="15.8" customWidth="1" min="6" max="6"/>
    <col width="13.5" customWidth="1" min="7" max="7"/>
    <col width="11.3" customWidth="1" min="8" max="8"/>
  </cols>
  <sheetData>
    <row r="1" ht="22" customHeight="1"/>
    <row r="2" ht="28" customHeight="1">
      <c r="A2" s="1" t="inlineStr">
        <is>
          <t>산업재해·중대재해 발생 대응 및 보고</t>
        </is>
      </c>
      <c r="B2" s="1" t="n"/>
      <c r="C2" s="1" t="n"/>
      <c r="D2" s="1" t="n"/>
      <c r="E2" s="1" t="n"/>
      <c r="F2" s="1" t="n"/>
      <c r="G2" s="1" t="n"/>
      <c r="H2" s="1" t="n"/>
    </row>
    <row r="3" ht="16" customHeight="1">
      <c r="A3" s="2" t="inlineStr">
        <is>
          <t>동인엔시스 | DI-SF-10 | Rev.00 | 제정 2026.10.01 | 시행 2026.10.01 (대표 승인)   ·   담당: 왕리홍 대리 / 대표이사 | 작성: 재해·중대한 아차사고 발생 즉시 / 조사 완료 시</t>
        </is>
      </c>
      <c r="B3" s="2" t="n"/>
      <c r="C3" s="2" t="n"/>
      <c r="D3" s="2" t="n"/>
      <c r="E3" s="2" t="n"/>
      <c r="F3" s="2" t="n"/>
      <c r="G3" s="2" t="n"/>
      <c r="H3" s="2" t="n"/>
    </row>
    <row r="4" ht="4" customHeight="1"/>
    <row r="5" ht="20" customHeight="1">
      <c r="A5" s="12" t="inlineStr">
        <is>
          <t>발생 일시</t>
        </is>
      </c>
      <c r="B5" s="10" t="n"/>
      <c r="C5" s="12" t="inlineStr">
        <is>
          <t>장소 (공장·고객 현장)</t>
        </is>
      </c>
      <c r="D5" s="12" t="n"/>
      <c r="E5" s="10" t="n"/>
      <c r="F5" s="12" t="inlineStr">
        <is>
          <t>재해자 소속 (정규·일용·외주)</t>
        </is>
      </c>
      <c r="G5" s="12" t="n"/>
      <c r="H5" s="10" t="n"/>
    </row>
    <row r="6" ht="20" customHeight="1">
      <c r="A6" s="12" t="inlineStr">
        <is>
          <t>재해 내용·부상 정도</t>
        </is>
      </c>
      <c r="B6" s="10" t="n"/>
      <c r="C6" s="10" t="n"/>
      <c r="D6" s="10" t="n"/>
      <c r="E6" s="10" t="n"/>
      <c r="F6" s="10" t="n"/>
      <c r="G6" s="10" t="n"/>
      <c r="H6" s="10" t="n"/>
    </row>
    <row r="7" ht="28.3" customHeight="1">
      <c r="A7" s="12" t="inlineStr">
        <is>
          <t>중대재해 노동관서 보고: 일시·방법·수신자</t>
        </is>
      </c>
      <c r="B7" s="10" t="n"/>
      <c r="C7" s="10" t="n"/>
      <c r="D7" s="10" t="n"/>
      <c r="E7" s="10" t="n"/>
      <c r="F7" s="10" t="n"/>
      <c r="G7" s="10" t="n"/>
      <c r="H7" s="10" t="n"/>
    </row>
    <row r="8" ht="20" customHeight="1">
      <c r="A8" s="12" t="inlineStr">
        <is>
          <t>산업재해조사표 제출일·접수번호</t>
        </is>
      </c>
      <c r="B8" s="10" t="n"/>
      <c r="C8" s="10" t="n"/>
      <c r="D8" s="10" t="n"/>
      <c r="E8" s="12" t="inlineStr">
        <is>
          <t>QF-09 번호 / SF-01 재검토일</t>
        </is>
      </c>
      <c r="F8" s="10" t="n"/>
      <c r="G8" s="10" t="n"/>
      <c r="H8" s="10" t="n"/>
    </row>
    <row r="9" ht="28.3" customHeight="1">
      <c r="A9" s="12" t="inlineStr">
        <is>
          <t>원인조사 참여자 (해당 작업 근로자 포함)</t>
        </is>
      </c>
      <c r="B9" s="10" t="n"/>
      <c r="C9" s="10" t="n"/>
      <c r="D9" s="10" t="n"/>
      <c r="E9" s="10" t="n"/>
      <c r="F9" s="10" t="n"/>
      <c r="G9" s="10" t="n"/>
      <c r="H9" s="10" t="n"/>
    </row>
    <row r="10" ht="5" customHeight="1"/>
    <row r="11" ht="14.15" customHeight="1">
      <c r="A11" s="2" t="inlineStr">
        <is>
          <t>즉시 조치 순서: ① 작업중지·전원 차단(LOTO) ② 재해자 구호·119 신고 ③ 추가 위험 제거·출입 통제 ④ 대표·안전 담당 보고 ⑤ 조사 전 현장 보존</t>
        </is>
      </c>
      <c r="B11" s="2" t="n"/>
      <c r="C11" s="2" t="n"/>
      <c r="D11" s="2" t="n"/>
      <c r="E11" s="2" t="n"/>
      <c r="F11" s="2" t="n"/>
      <c r="G11" s="2" t="n"/>
      <c r="H11" s="2" t="n"/>
    </row>
    <row r="12" ht="26.3" customHeight="1">
      <c r="A12" s="2" t="inlineStr">
        <is>
          <t>중대재해(산업안전보건법: 사망 1명 이상, 3개월 이상 요양 부상자 동시 2명 이상, 부상·질병자 동시 10명 이상)는 지체 없이 관할 지방고용노동관서에 보고한다. 중대재해처벌법상 중대산업재해(사망 1명 이상, 동일 사고 6개월 이상 치료 2명 이상, 동일 유해요인 직업성 질병 1년 내 3명 이상) 해당 여부도 판단해 대표에게 보고한다.</t>
        </is>
      </c>
      <c r="B12" s="2" t="n"/>
      <c r="C12" s="2" t="n"/>
      <c r="D12" s="2" t="n"/>
      <c r="E12" s="2" t="n"/>
      <c r="F12" s="2" t="n"/>
      <c r="G12" s="2" t="n"/>
      <c r="H12" s="2" t="n"/>
    </row>
    <row r="13" ht="14.15" customHeight="1">
      <c r="A13" s="2" t="inlineStr">
        <is>
          <t>사망 또는 3일 이상 휴업 재해는 발생일부터 1개월 이내 산업재해조사표를 제출하고 사본을 3년 이상 보존한다.</t>
        </is>
      </c>
      <c r="B13" s="2" t="n"/>
      <c r="C13" s="2" t="n"/>
      <c r="D13" s="2" t="n"/>
      <c r="E13" s="2" t="n"/>
      <c r="F13" s="2" t="n"/>
      <c r="G13" s="2" t="n"/>
      <c r="H13" s="2" t="n"/>
    </row>
    <row r="14" ht="5" customHeight="1"/>
    <row r="15" ht="26" customHeight="1">
      <c r="A15" s="3" t="inlineStr">
        <is>
          <t>단계</t>
        </is>
      </c>
      <c r="B15" s="3" t="inlineStr">
        <is>
          <t>기준·기한</t>
        </is>
      </c>
      <c r="C15" s="3" t="inlineStr">
        <is>
          <t>실시 일시</t>
        </is>
      </c>
      <c r="D15" s="3" t="inlineStr">
        <is>
          <t>담당</t>
        </is>
      </c>
      <c r="E15" s="3" t="inlineStr">
        <is>
          <t>결과·내용</t>
        </is>
      </c>
      <c r="F15" s="3" t="inlineStr">
        <is>
          <t>보고·제출처</t>
        </is>
      </c>
      <c r="G15" s="3" t="inlineStr">
        <is>
          <t>증거</t>
        </is>
      </c>
      <c r="H15" s="3" t="inlineStr">
        <is>
          <t>확인</t>
        </is>
      </c>
    </row>
    <row r="16" ht="24" customHeight="1">
      <c r="A16" s="4" t="inlineStr">
        <is>
          <t>작업중지·구호·119 신고</t>
        </is>
      </c>
      <c r="B16" s="4" t="inlineStr">
        <is>
          <t>즉시</t>
        </is>
      </c>
      <c r="C16" s="5" t="n"/>
      <c r="D16" s="5" t="n"/>
      <c r="E16" s="5" t="n"/>
      <c r="F16" s="5" t="n"/>
      <c r="G16" s="5" t="n"/>
      <c r="H16" s="5" t="n"/>
    </row>
    <row r="17" ht="24" customHeight="1">
      <c r="A17" s="4" t="inlineStr">
        <is>
          <t>대표·안전 담당 보고</t>
        </is>
      </c>
      <c r="B17" s="4" t="inlineStr">
        <is>
          <t>즉시 (유선)</t>
        </is>
      </c>
      <c r="C17" s="5" t="n"/>
      <c r="D17" s="5" t="n"/>
      <c r="E17" s="5" t="n"/>
      <c r="F17" s="5" t="n"/>
      <c r="G17" s="5" t="n"/>
      <c r="H17" s="5" t="n"/>
    </row>
    <row r="18" ht="24" customHeight="1">
      <c r="A18" s="4" t="inlineStr">
        <is>
          <t>중대재해 판단·노동관서 보고</t>
        </is>
      </c>
      <c r="B18" s="4" t="inlineStr">
        <is>
          <t>지체 없이</t>
        </is>
      </c>
      <c r="C18" s="5" t="n"/>
      <c r="D18" s="5" t="n"/>
      <c r="E18" s="5" t="n"/>
      <c r="F18" s="5" t="n"/>
      <c r="G18" s="5" t="n"/>
      <c r="H18" s="5" t="n"/>
    </row>
    <row r="19" ht="31.65" customHeight="1">
      <c r="A19" s="4" t="inlineStr">
        <is>
          <t>고객사(원청) 통보 (현장 재해 시)</t>
        </is>
      </c>
      <c r="B19" s="4" t="inlineStr">
        <is>
          <t>즉시</t>
        </is>
      </c>
      <c r="C19" s="5" t="n"/>
      <c r="D19" s="5" t="n"/>
      <c r="E19" s="5" t="n"/>
      <c r="F19" s="5" t="n"/>
      <c r="G19" s="5" t="n"/>
      <c r="H19" s="5" t="n"/>
    </row>
    <row r="20" ht="24" customHeight="1">
      <c r="A20" s="4" t="inlineStr">
        <is>
          <t>산업재해조사표 제출</t>
        </is>
      </c>
      <c r="B20" s="4" t="inlineStr">
        <is>
          <t>발생일부터 1개월 이내</t>
        </is>
      </c>
      <c r="C20" s="5" t="n"/>
      <c r="D20" s="5" t="n"/>
      <c r="E20" s="5" t="n"/>
      <c r="F20" s="5" t="n"/>
      <c r="G20" s="5" t="n"/>
      <c r="H20" s="5" t="n"/>
    </row>
    <row r="21" ht="24" customHeight="1">
      <c r="A21" s="4" t="inlineStr">
        <is>
          <t>원인조사 (근로자 참여)</t>
        </is>
      </c>
      <c r="B21" s="4" t="inlineStr">
        <is>
          <t>조사 완료 기한 지정</t>
        </is>
      </c>
      <c r="C21" s="5" t="n"/>
      <c r="D21" s="5" t="n"/>
      <c r="E21" s="5" t="n"/>
      <c r="F21" s="5" t="n"/>
      <c r="G21" s="5" t="n"/>
      <c r="H21" s="5" t="n"/>
    </row>
    <row r="22" ht="24" customHeight="1">
      <c r="A22" s="4" t="inlineStr">
        <is>
          <t>재발방지대책·SF-01 재검토</t>
        </is>
      </c>
      <c r="B22" s="4" t="inlineStr">
        <is>
          <t>대책 승인 후 즉시</t>
        </is>
      </c>
      <c r="C22" s="5" t="n"/>
      <c r="D22" s="5" t="n"/>
      <c r="E22" s="5" t="n"/>
      <c r="F22" s="5" t="n"/>
      <c r="G22" s="5" t="n"/>
      <c r="H22" s="5" t="n"/>
    </row>
    <row r="23" ht="24" customHeight="1">
      <c r="A23" s="4" t="inlineStr">
        <is>
          <t>근로자 공유·교육 (QF-12)</t>
        </is>
      </c>
      <c r="B23" s="4" t="inlineStr">
        <is>
          <t>대책 확정 후</t>
        </is>
      </c>
      <c r="C23" s="5" t="n"/>
      <c r="D23" s="5" t="n"/>
      <c r="E23" s="5" t="n"/>
      <c r="F23" s="5" t="n"/>
      <c r="G23" s="5" t="n"/>
      <c r="H23" s="5" t="n"/>
    </row>
    <row r="24" ht="6" customHeight="1"/>
    <row r="25" ht="16" customHeight="1">
      <c r="A25" s="7" t="inlineStr">
        <is>
          <t>첨부·대체 기록 번호와 보관 경로 / 적용 제외(해당없음) 사유 / 미결 확인 :</t>
        </is>
      </c>
      <c r="B25" s="13" t="n"/>
      <c r="C25" s="13" t="n"/>
      <c r="D25" s="13" t="n"/>
      <c r="E25" s="8" t="inlineStr">
        <is>
          <t>구분</t>
        </is>
      </c>
      <c r="F25" s="8" t="inlineStr">
        <is>
          <t>작성</t>
        </is>
      </c>
      <c r="G25" s="8" t="inlineStr">
        <is>
          <t>검토</t>
        </is>
      </c>
      <c r="H25" s="8" t="inlineStr">
        <is>
          <t>승인</t>
        </is>
      </c>
    </row>
    <row r="26" ht="28" customHeight="1">
      <c r="A26" s="13" t="n"/>
      <c r="B26" s="13" t="n"/>
      <c r="C26" s="13" t="n"/>
      <c r="D26" s="13" t="n"/>
      <c r="E26" s="9" t="inlineStr">
        <is>
          <t>성명·서명</t>
        </is>
      </c>
      <c r="F26" s="10" t="n"/>
      <c r="G26" s="10" t="n"/>
      <c r="H26" s="10" t="n"/>
    </row>
    <row r="27" ht="16" customHeight="1">
      <c r="A27" s="13" t="n"/>
      <c r="B27" s="13" t="n"/>
      <c r="C27" s="13" t="n"/>
      <c r="D27" s="13" t="n"/>
      <c r="E27" s="9" t="inlineStr">
        <is>
          <t>일자</t>
        </is>
      </c>
      <c r="F27" s="10" t="n"/>
      <c r="G27" s="10" t="n"/>
      <c r="H27" s="10" t="n"/>
    </row>
  </sheetData>
  <mergeCells count="13">
    <mergeCell ref="A12:H12"/>
    <mergeCell ref="A3:H3"/>
    <mergeCell ref="B9:H9"/>
    <mergeCell ref="A25:D27"/>
    <mergeCell ref="A2:H2"/>
    <mergeCell ref="F5:G5"/>
    <mergeCell ref="C5:D5"/>
    <mergeCell ref="B8:D8"/>
    <mergeCell ref="B6:H6"/>
    <mergeCell ref="F8:H8"/>
    <mergeCell ref="A13:H13"/>
    <mergeCell ref="A11:H11"/>
    <mergeCell ref="B7:H7"/>
  </mergeCells>
  <printOptions horizontalCentered="1"/>
  <pageMargins left="0.45" right="0.45" top="0.5" bottom="0.55" header="0.25" footer="0.25"/>
  <pageSetup orientation="landscape" paperSize="9" fitToHeight="1" fitToWidth="1"/>
  <headerFooter>
    <oddHeader/>
    <oddFooter>&amp;C&amp;"Malgun Gothic"&amp;8 동인엔시스 | DI-SF-10 Rev.00 | 페이지 &amp;P / 전체 &amp;N</oddFooter>
    <evenHeader/>
    <evenFooter/>
    <firstHeader/>
    <firstFooter/>
  </headerFooter>
  <drawing xmlns:r="http://schemas.openxmlformats.org/officeDocument/2006/relationships" r:id="rId1"/>
</worksheet>
</file>

<file path=xl/worksheets/sheet32.xml><?xml version="1.0" encoding="utf-8"?>
<worksheet xmlns="http://schemas.openxmlformats.org/spreadsheetml/2006/main">
  <sheetPr>
    <outlinePr summaryBelow="1" summaryRight="1"/>
    <pageSetUpPr fitToPage="1"/>
  </sheetPr>
  <dimension ref="A2:K42"/>
  <sheetViews>
    <sheetView showGridLines="0" workbookViewId="0">
      <pane ySplit="12" topLeftCell="A13" activePane="bottomLeft" state="frozen"/>
      <selection pane="bottomLeft" activeCell="A1" sqref="A1"/>
    </sheetView>
  </sheetViews>
  <sheetFormatPr baseColWidth="8" defaultRowHeight="15"/>
  <cols>
    <col width="15" customWidth="1" min="1" max="1"/>
    <col width="21.4" customWidth="1" min="2" max="2"/>
    <col width="17.1" customWidth="1" min="3" max="3"/>
    <col width="9.6" customWidth="1" min="4" max="4"/>
    <col width="5.3" customWidth="1" min="5" max="5"/>
    <col width="5.3" customWidth="1" min="6" max="6"/>
    <col width="6.4" customWidth="1" min="7" max="7"/>
    <col width="12.8" customWidth="1" min="8" max="8"/>
    <col width="8.5" customWidth="1" min="9" max="9"/>
    <col width="23.5" customWidth="1" min="10" max="10"/>
    <col width="15" customWidth="1" min="11" max="11"/>
  </cols>
  <sheetData>
    <row r="1" ht="22" customHeight="1"/>
    <row r="2" ht="28" customHeight="1">
      <c r="A2" s="1" t="inlineStr">
        <is>
          <t>환경측면 중요도 및 운영관리</t>
        </is>
      </c>
      <c r="B2" s="1" t="n"/>
      <c r="C2" s="1" t="n"/>
      <c r="D2" s="1" t="n"/>
      <c r="E2" s="1" t="n"/>
      <c r="F2" s="1" t="n"/>
      <c r="G2" s="1" t="n"/>
      <c r="H2" s="1" t="n"/>
      <c r="I2" s="1" t="n"/>
      <c r="J2" s="1" t="n"/>
      <c r="K2" s="1" t="n"/>
    </row>
    <row r="3" ht="16" customHeight="1">
      <c r="A3" s="2" t="inlineStr">
        <is>
          <t>동인엔시스 | DI-EF-01 | Rev.00 | 제정 2026.10.01 | 시행 2026.10.01 (대표 승인)   ·   담당: 성문기 과장 | 작성: 최초·연 1회·변경 시</t>
        </is>
      </c>
      <c r="B3" s="2" t="n"/>
      <c r="C3" s="2" t="n"/>
      <c r="D3" s="2" t="n"/>
      <c r="E3" s="2" t="n"/>
      <c r="F3" s="2" t="n"/>
      <c r="G3" s="2" t="n"/>
      <c r="H3" s="2" t="n"/>
      <c r="I3" s="2" t="n"/>
      <c r="J3" s="2" t="n"/>
      <c r="K3" s="2" t="n"/>
    </row>
    <row r="4" ht="4" customHeight="1"/>
    <row r="5" ht="20" customHeight="1">
      <c r="A5" s="12" t="inlineStr">
        <is>
          <t>평가일</t>
        </is>
      </c>
      <c r="B5" s="10" t="n"/>
      <c r="C5" s="10" t="n"/>
      <c r="D5" s="12" t="inlineStr">
        <is>
          <t>평가 구분</t>
        </is>
      </c>
      <c r="E5" s="10" t="n"/>
      <c r="F5" s="10" t="n"/>
      <c r="G5" s="10" t="n"/>
      <c r="H5" s="10" t="n"/>
      <c r="I5" s="12" t="inlineStr">
        <is>
          <t>평가자</t>
        </is>
      </c>
      <c r="J5" s="10" t="n"/>
      <c r="K5" s="10" t="n"/>
    </row>
    <row r="6" ht="20" customHeight="1">
      <c r="A6" s="12" t="inlineStr">
        <is>
          <t>검토자</t>
        </is>
      </c>
      <c r="B6" s="10" t="n"/>
      <c r="C6" s="10" t="n"/>
      <c r="D6" s="10" t="n"/>
      <c r="E6" s="10" t="n"/>
      <c r="F6" s="10" t="n"/>
      <c r="G6" s="10" t="n"/>
      <c r="H6" s="10" t="n"/>
      <c r="I6" s="10" t="n"/>
      <c r="J6" s="10" t="n"/>
      <c r="K6" s="10" t="n"/>
    </row>
    <row r="7" ht="28.3" customHeight="1">
      <c r="A7" s="12" t="inlineStr">
        <is>
          <t>수명주기 범위: 구매·외주·제조·운송·사용·폐기 / 관리 또는 영향 가능성</t>
        </is>
      </c>
      <c r="B7" s="12" t="n"/>
      <c r="C7" s="10" t="n"/>
      <c r="D7" s="10" t="n"/>
      <c r="E7" s="10" t="n"/>
      <c r="F7" s="10" t="n"/>
      <c r="G7" s="10" t="n"/>
      <c r="H7" s="10" t="n"/>
      <c r="I7" s="10" t="n"/>
      <c r="J7" s="10" t="n"/>
      <c r="K7" s="10" t="n"/>
    </row>
    <row r="8" ht="5" customHeight="1"/>
    <row r="9" ht="14.15" customHeight="1">
      <c r="A9" s="2" t="inlineStr">
        <is>
          <t>중요도 = 영향크기 I(1 경미 / 2 중간 / 3 심각) × 발생 F(1 드묾 / 2 간헐 / 3 상시). 6 이상, 법규·고객 필수관리 또는 중대 비상잠재영향은 중요측면(자동 표시), 그 외 일반관리.</t>
        </is>
      </c>
      <c r="B9" s="2" t="n"/>
      <c r="C9" s="2" t="n"/>
      <c r="D9" s="2" t="n"/>
      <c r="E9" s="2" t="n"/>
      <c r="F9" s="2" t="n"/>
      <c r="G9" s="2" t="n"/>
      <c r="H9" s="2" t="n"/>
      <c r="I9" s="2" t="n"/>
      <c r="J9" s="2" t="n"/>
      <c r="K9" s="2" t="n"/>
    </row>
    <row r="10" ht="14.15" customHeight="1">
      <c r="A10" s="2" t="inlineStr">
        <is>
          <t>실제 미사용·미발생 활동은 근거를 적어 해당없음 처리한다. 중요측면은 관리조건·점검주기·측정 지표를 정하고 MF-03과 연결한다. 아래 측면은 예시이며 실제 활동에 맞게 고친다.</t>
        </is>
      </c>
      <c r="B10" s="2" t="n"/>
      <c r="C10" s="2" t="n"/>
      <c r="D10" s="2" t="n"/>
      <c r="E10" s="2" t="n"/>
      <c r="F10" s="2" t="n"/>
      <c r="G10" s="2" t="n"/>
      <c r="H10" s="2" t="n"/>
      <c r="I10" s="2" t="n"/>
      <c r="J10" s="2" t="n"/>
      <c r="K10" s="2" t="n"/>
    </row>
    <row r="11" ht="5" customHeight="1"/>
    <row r="12" ht="26" customHeight="1">
      <c r="A12" s="3" t="inlineStr">
        <is>
          <t>활동·상태</t>
        </is>
      </c>
      <c r="B12" s="3" t="inlineStr">
        <is>
          <t>환경측면</t>
        </is>
      </c>
      <c r="C12" s="3" t="inlineStr">
        <is>
          <t>환경영향</t>
        </is>
      </c>
      <c r="D12" s="3" t="inlineStr">
        <is>
          <t>조건</t>
        </is>
      </c>
      <c r="E12" s="3" t="inlineStr">
        <is>
          <t>I</t>
        </is>
      </c>
      <c r="F12" s="3" t="inlineStr">
        <is>
          <t>F</t>
        </is>
      </c>
      <c r="G12" s="3" t="inlineStr">
        <is>
          <t>점수</t>
        </is>
      </c>
      <c r="H12" s="3" t="inlineStr">
        <is>
          <t>필수관리</t>
        </is>
      </c>
      <c r="I12" s="3" t="inlineStr">
        <is>
          <t>판정</t>
        </is>
      </c>
      <c r="J12" s="3" t="inlineStr">
        <is>
          <t>관리방법·측정·담당</t>
        </is>
      </c>
      <c r="K12" s="3" t="inlineStr">
        <is>
          <t>증거·재평가</t>
        </is>
      </c>
    </row>
    <row r="13" ht="31.65" customHeight="1">
      <c r="A13" s="4" t="inlineStr">
        <is>
          <t>조립·배선</t>
        </is>
      </c>
      <c r="B13" s="4" t="inlineStr">
        <is>
          <t>전선 피복·소선·금속 스크랩</t>
        </is>
      </c>
      <c r="C13" s="4" t="inlineStr">
        <is>
          <t>폐기물 발생·자원 소비</t>
        </is>
      </c>
      <c r="D13" s="11" t="inlineStr">
        <is>
          <t>정상</t>
        </is>
      </c>
      <c r="E13" s="6" t="n"/>
      <c r="F13" s="6" t="n"/>
      <c r="G13" s="11">
        <f>IF(OR(E13="",F13=""),"",E13*F13)</f>
        <v/>
      </c>
      <c r="H13" s="6" t="n"/>
      <c r="I13" s="11">
        <f>IF(AND(G13="",H13=""),"",IF(OR(H13="법규·고객 필수",H13="중대 비상",N(G13)&gt;=6),"중요","일반"))</f>
        <v/>
      </c>
      <c r="J13" s="5" t="n"/>
      <c r="K13" s="5" t="n"/>
    </row>
    <row r="14" ht="31.65" customHeight="1">
      <c r="A14" s="4" t="inlineStr">
        <is>
          <t>외함 가공 (해당 시)</t>
        </is>
      </c>
      <c r="B14" s="4" t="inlineStr">
        <is>
          <t>금속 칩·절삭유</t>
        </is>
      </c>
      <c r="C14" s="4" t="inlineStr">
        <is>
          <t>폐기물·토양오염</t>
        </is>
      </c>
      <c r="D14" s="11" t="inlineStr">
        <is>
          <t>정상</t>
        </is>
      </c>
      <c r="E14" s="6" t="n"/>
      <c r="F14" s="6" t="n"/>
      <c r="G14" s="11">
        <f>IF(OR(E14="",F14=""),"",E14*F14)</f>
        <v/>
      </c>
      <c r="H14" s="6" t="n"/>
      <c r="I14" s="11">
        <f>IF(AND(G14="",H14=""),"",IF(OR(H14="법규·고객 필수",H14="중대 비상",N(G14)&gt;=6),"중요","일반"))</f>
        <v/>
      </c>
      <c r="J14" s="5" t="n"/>
      <c r="K14" s="5" t="n"/>
    </row>
    <row r="15" ht="24" customHeight="1">
      <c r="A15" s="4" t="inlineStr">
        <is>
          <t>입고·포장</t>
        </is>
      </c>
      <c r="B15" s="4" t="inlineStr">
        <is>
          <t>종이·비닐·목재·완충재</t>
        </is>
      </c>
      <c r="C15" s="4" t="inlineStr">
        <is>
          <t>폐기물 발생</t>
        </is>
      </c>
      <c r="D15" s="11" t="inlineStr">
        <is>
          <t>정상</t>
        </is>
      </c>
      <c r="E15" s="6" t="n"/>
      <c r="F15" s="6" t="n"/>
      <c r="G15" s="11">
        <f>IF(OR(E15="",F15=""),"",E15*F15)</f>
        <v/>
      </c>
      <c r="H15" s="6" t="n"/>
      <c r="I15" s="11">
        <f>IF(AND(G15="",H15=""),"",IF(OR(H15="법규·고객 필수",H15="중대 비상",N(G15)&gt;=6),"중요","일반"))</f>
        <v/>
      </c>
      <c r="J15" s="5" t="n"/>
      <c r="K15" s="5" t="n"/>
    </row>
    <row r="16" ht="31.65" customHeight="1">
      <c r="A16" s="4" t="inlineStr">
        <is>
          <t>시험·사무</t>
        </is>
      </c>
      <c r="B16" s="4" t="inlineStr">
        <is>
          <t>전력 사용</t>
        </is>
      </c>
      <c r="C16" s="4" t="inlineStr">
        <is>
          <t>자원 소비·간접 온실가스</t>
        </is>
      </c>
      <c r="D16" s="11" t="inlineStr">
        <is>
          <t>정상</t>
        </is>
      </c>
      <c r="E16" s="6" t="n"/>
      <c r="F16" s="6" t="n"/>
      <c r="G16" s="11">
        <f>IF(OR(E16="",F16=""),"",E16*F16)</f>
        <v/>
      </c>
      <c r="H16" s="6" t="n"/>
      <c r="I16" s="11">
        <f>IF(AND(G16="",H16=""),"",IF(OR(H16="법규·고객 필수",H16="중대 비상",N(G16)&gt;=6),"중요","일반"))</f>
        <v/>
      </c>
      <c r="J16" s="5" t="n"/>
      <c r="K16" s="5" t="n"/>
    </row>
    <row r="17" ht="31.65" customHeight="1">
      <c r="A17" s="4" t="inlineStr">
        <is>
          <t>외함 도장 (외주)</t>
        </is>
      </c>
      <c r="B17" s="4" t="inlineStr">
        <is>
          <t>도료·VOC (외주처 관리)</t>
        </is>
      </c>
      <c r="C17" s="4" t="inlineStr">
        <is>
          <t>대기오염 (영향 가능)</t>
        </is>
      </c>
      <c r="D17" s="11" t="inlineStr">
        <is>
          <t>정상</t>
        </is>
      </c>
      <c r="E17" s="6" t="n"/>
      <c r="F17" s="6" t="n"/>
      <c r="G17" s="11">
        <f>IF(OR(E17="",F17=""),"",E17*F17)</f>
        <v/>
      </c>
      <c r="H17" s="6" t="n"/>
      <c r="I17" s="11">
        <f>IF(AND(G17="",H17=""),"",IF(OR(H17="법규·고객 필수",H17="중대 비상",N(G17)&gt;=6),"중요","일반"))</f>
        <v/>
      </c>
      <c r="J17" s="5" t="n"/>
      <c r="K17" s="5" t="n"/>
    </row>
    <row r="18" ht="31.65" customHeight="1">
      <c r="A18" s="4" t="inlineStr">
        <is>
          <t>세척제·스프레이·마킹</t>
        </is>
      </c>
      <c r="B18" s="4" t="inlineStr">
        <is>
          <t>화학물질 취급·누출</t>
        </is>
      </c>
      <c r="C18" s="4" t="inlineStr">
        <is>
          <t>토양·수질오염, 화재</t>
        </is>
      </c>
      <c r="D18" s="11" t="inlineStr">
        <is>
          <t>비정상</t>
        </is>
      </c>
      <c r="E18" s="6" t="n"/>
      <c r="F18" s="6" t="n"/>
      <c r="G18" s="11">
        <f>IF(OR(E18="",F18=""),"",E18*F18)</f>
        <v/>
      </c>
      <c r="H18" s="6" t="n"/>
      <c r="I18" s="11">
        <f>IF(AND(G18="",H18=""),"",IF(OR(H18="법규·고객 필수",H18="중대 비상",N(G18)&gt;=6),"중요","일반"))</f>
        <v/>
      </c>
      <c r="J18" s="5" t="n"/>
      <c r="K18" s="5" t="n"/>
    </row>
    <row r="19" ht="31.65" customHeight="1">
      <c r="A19" s="4" t="inlineStr">
        <is>
          <t>불량·폐부품</t>
        </is>
      </c>
      <c r="B19" s="4" t="inlineStr">
        <is>
          <t>기판·배터리 등 전기전자 폐기물</t>
        </is>
      </c>
      <c r="C19" s="4" t="inlineStr">
        <is>
          <t>유해폐기물</t>
        </is>
      </c>
      <c r="D19" s="11" t="inlineStr">
        <is>
          <t>정상</t>
        </is>
      </c>
      <c r="E19" s="6" t="n"/>
      <c r="F19" s="6" t="n"/>
      <c r="G19" s="11">
        <f>IF(OR(E19="",F19=""),"",E19*F19)</f>
        <v/>
      </c>
      <c r="H19" s="6" t="n"/>
      <c r="I19" s="11">
        <f>IF(AND(G19="",H19=""),"",IF(OR(H19="법규·고객 필수",H19="중대 비상",N(G19)&gt;=6),"중요","일반"))</f>
        <v/>
      </c>
      <c r="J19" s="5" t="n"/>
      <c r="K19" s="5" t="n"/>
    </row>
    <row r="20" ht="24" customHeight="1">
      <c r="A20" s="4" t="inlineStr">
        <is>
          <t>화재</t>
        </is>
      </c>
      <c r="B20" s="4" t="inlineStr">
        <is>
          <t>연소가스·소화수</t>
        </is>
      </c>
      <c r="C20" s="4" t="inlineStr">
        <is>
          <t>대기·수질오염</t>
        </is>
      </c>
      <c r="D20" s="11" t="inlineStr">
        <is>
          <t>비상</t>
        </is>
      </c>
      <c r="E20" s="6" t="n"/>
      <c r="F20" s="6" t="n"/>
      <c r="G20" s="11">
        <f>IF(OR(E20="",F20=""),"",E20*F20)</f>
        <v/>
      </c>
      <c r="H20" s="6" t="n"/>
      <c r="I20" s="11">
        <f>IF(AND(G20="",H20=""),"",IF(OR(H20="법규·고객 필수",H20="중대 비상",N(G20)&gt;=6),"중요","일반"))</f>
        <v/>
      </c>
      <c r="J20" s="5" t="n"/>
      <c r="K20" s="5" t="n"/>
    </row>
    <row r="21" ht="24" customHeight="1">
      <c r="A21" s="4" t="inlineStr">
        <is>
          <t>운송·출장</t>
        </is>
      </c>
      <c r="B21" s="4" t="inlineStr">
        <is>
          <t>차량 연료 사용</t>
        </is>
      </c>
      <c r="C21" s="4" t="inlineStr">
        <is>
          <t>대기오염·온실가스</t>
        </is>
      </c>
      <c r="D21" s="11" t="inlineStr">
        <is>
          <t>정상</t>
        </is>
      </c>
      <c r="E21" s="6" t="n"/>
      <c r="F21" s="6" t="n"/>
      <c r="G21" s="11">
        <f>IF(OR(E21="",F21=""),"",E21*F21)</f>
        <v/>
      </c>
      <c r="H21" s="6" t="n"/>
      <c r="I21" s="11">
        <f>IF(AND(G21="",H21=""),"",IF(OR(H21="법규·고객 필수",H21="중대 비상",N(G21)&gt;=6),"중요","일반"))</f>
        <v/>
      </c>
      <c r="J21" s="5" t="n"/>
      <c r="K21" s="5" t="n"/>
    </row>
    <row r="22" ht="31.65" customHeight="1">
      <c r="A22" s="4" t="inlineStr">
        <is>
          <t>제품 사용</t>
        </is>
      </c>
      <c r="B22" s="4" t="inlineStr">
        <is>
          <t>제어반 전력 소비 / 인버터·에너지 절감 설계</t>
        </is>
      </c>
      <c r="C22" s="4" t="inlineStr">
        <is>
          <t>자원 절약 (긍정)</t>
        </is>
      </c>
      <c r="D22" s="11" t="inlineStr">
        <is>
          <t>정상</t>
        </is>
      </c>
      <c r="E22" s="6" t="n"/>
      <c r="F22" s="6" t="n"/>
      <c r="G22" s="11">
        <f>IF(OR(E22="",F22=""),"",E22*F22)</f>
        <v/>
      </c>
      <c r="H22" s="6" t="n"/>
      <c r="I22" s="11">
        <f>IF(AND(G22="",H22=""),"",IF(OR(H22="법규·고객 필수",H22="중대 비상",N(G22)&gt;=6),"중요","일반"))</f>
        <v/>
      </c>
      <c r="J22" s="5" t="n"/>
      <c r="K22" s="5" t="n"/>
    </row>
    <row r="23" ht="31.65" customHeight="1">
      <c r="A23" s="4" t="inlineStr">
        <is>
          <t>제품 폐기</t>
        </is>
      </c>
      <c r="B23" s="4" t="inlineStr">
        <is>
          <t>판넬 폐기 (금속·전선·전자부품)</t>
        </is>
      </c>
      <c r="C23" s="4" t="inlineStr">
        <is>
          <t>폐기물·재활용 정보 전달</t>
        </is>
      </c>
      <c r="D23" s="11" t="inlineStr">
        <is>
          <t>정상</t>
        </is>
      </c>
      <c r="E23" s="6" t="n"/>
      <c r="F23" s="6" t="n"/>
      <c r="G23" s="11">
        <f>IF(OR(E23="",F23=""),"",E23*F23)</f>
        <v/>
      </c>
      <c r="H23" s="6" t="n"/>
      <c r="I23" s="11">
        <f>IF(AND(G23="",H23=""),"",IF(OR(H23="법규·고객 필수",H23="중대 비상",N(G23)&gt;=6),"중요","일반"))</f>
        <v/>
      </c>
      <c r="J23" s="5" t="n"/>
      <c r="K23" s="5" t="n"/>
    </row>
    <row r="24" ht="24" customHeight="1">
      <c r="A24" s="5" t="n"/>
      <c r="B24" s="5" t="n"/>
      <c r="C24" s="5" t="n"/>
      <c r="D24" s="6" t="n"/>
      <c r="E24" s="6" t="n"/>
      <c r="F24" s="6" t="n"/>
      <c r="G24" s="11">
        <f>IF(OR(E24="",F24=""),"",E24*F24)</f>
        <v/>
      </c>
      <c r="H24" s="6" t="n"/>
      <c r="I24" s="11">
        <f>IF(AND(G24="",H24=""),"",IF(OR(H24="법규·고객 필수",H24="중대 비상",N(G24)&gt;=6),"중요","일반"))</f>
        <v/>
      </c>
      <c r="J24" s="5" t="n"/>
      <c r="K24" s="5" t="n"/>
    </row>
    <row r="25" ht="24" customHeight="1">
      <c r="A25" s="5" t="n"/>
      <c r="B25" s="5" t="n"/>
      <c r="C25" s="5" t="n"/>
      <c r="D25" s="6" t="n"/>
      <c r="E25" s="6" t="n"/>
      <c r="F25" s="6" t="n"/>
      <c r="G25" s="11">
        <f>IF(OR(E25="",F25=""),"",E25*F25)</f>
        <v/>
      </c>
      <c r="H25" s="6" t="n"/>
      <c r="I25" s="11">
        <f>IF(AND(G25="",H25=""),"",IF(OR(H25="법규·고객 필수",H25="중대 비상",N(G25)&gt;=6),"중요","일반"))</f>
        <v/>
      </c>
      <c r="J25" s="5" t="n"/>
      <c r="K25" s="5" t="n"/>
    </row>
    <row r="26" ht="24" customHeight="1">
      <c r="A26" s="5" t="n"/>
      <c r="B26" s="5" t="n"/>
      <c r="C26" s="5" t="n"/>
      <c r="D26" s="6" t="n"/>
      <c r="E26" s="6" t="n"/>
      <c r="F26" s="6" t="n"/>
      <c r="G26" s="11">
        <f>IF(OR(E26="",F26=""),"",E26*F26)</f>
        <v/>
      </c>
      <c r="H26" s="6" t="n"/>
      <c r="I26" s="11">
        <f>IF(AND(G26="",H26=""),"",IF(OR(H26="법규·고객 필수",H26="중대 비상",N(G26)&gt;=6),"중요","일반"))</f>
        <v/>
      </c>
      <c r="J26" s="5" t="n"/>
      <c r="K26" s="5" t="n"/>
    </row>
    <row r="27" ht="24" customHeight="1">
      <c r="A27" s="5" t="n"/>
      <c r="B27" s="5" t="n"/>
      <c r="C27" s="5" t="n"/>
      <c r="D27" s="6" t="n"/>
      <c r="E27" s="6" t="n"/>
      <c r="F27" s="6" t="n"/>
      <c r="G27" s="11">
        <f>IF(OR(E27="",F27=""),"",E27*F27)</f>
        <v/>
      </c>
      <c r="H27" s="6" t="n"/>
      <c r="I27" s="11">
        <f>IF(AND(G27="",H27=""),"",IF(OR(H27="법규·고객 필수",H27="중대 비상",N(G27)&gt;=6),"중요","일반"))</f>
        <v/>
      </c>
      <c r="J27" s="5" t="n"/>
      <c r="K27" s="5" t="n"/>
    </row>
    <row r="28" ht="24" customHeight="1">
      <c r="A28" s="5" t="n"/>
      <c r="B28" s="5" t="n"/>
      <c r="C28" s="5" t="n"/>
      <c r="D28" s="6" t="n"/>
      <c r="E28" s="6" t="n"/>
      <c r="F28" s="6" t="n"/>
      <c r="G28" s="11">
        <f>IF(OR(E28="",F28=""),"",E28*F28)</f>
        <v/>
      </c>
      <c r="H28" s="6" t="n"/>
      <c r="I28" s="11">
        <f>IF(AND(G28="",H28=""),"",IF(OR(H28="법규·고객 필수",H28="중대 비상",N(G28)&gt;=6),"중요","일반"))</f>
        <v/>
      </c>
      <c r="J28" s="5" t="n"/>
      <c r="K28" s="5" t="n"/>
    </row>
    <row r="29" ht="24" customHeight="1">
      <c r="A29" s="5" t="n"/>
      <c r="B29" s="5" t="n"/>
      <c r="C29" s="5" t="n"/>
      <c r="D29" s="6" t="n"/>
      <c r="E29" s="6" t="n"/>
      <c r="F29" s="6" t="n"/>
      <c r="G29" s="11">
        <f>IF(OR(E29="",F29=""),"",E29*F29)</f>
        <v/>
      </c>
      <c r="H29" s="6" t="n"/>
      <c r="I29" s="11">
        <f>IF(AND(G29="",H29=""),"",IF(OR(H29="법규·고객 필수",H29="중대 비상",N(G29)&gt;=6),"중요","일반"))</f>
        <v/>
      </c>
      <c r="J29" s="5" t="n"/>
      <c r="K29" s="5" t="n"/>
    </row>
    <row r="30" ht="24" customHeight="1">
      <c r="A30" s="5" t="n"/>
      <c r="B30" s="5" t="n"/>
      <c r="C30" s="5" t="n"/>
      <c r="D30" s="6" t="n"/>
      <c r="E30" s="6" t="n"/>
      <c r="F30" s="6" t="n"/>
      <c r="G30" s="11">
        <f>IF(OR(E30="",F30=""),"",E30*F30)</f>
        <v/>
      </c>
      <c r="H30" s="6" t="n"/>
      <c r="I30" s="11">
        <f>IF(AND(G30="",H30=""),"",IF(OR(H30="법규·고객 필수",H30="중대 비상",N(G30)&gt;=6),"중요","일반"))</f>
        <v/>
      </c>
      <c r="J30" s="5" t="n"/>
      <c r="K30" s="5" t="n"/>
    </row>
    <row r="31" ht="24" customHeight="1">
      <c r="A31" s="5" t="n"/>
      <c r="B31" s="5" t="n"/>
      <c r="C31" s="5" t="n"/>
      <c r="D31" s="6" t="n"/>
      <c r="E31" s="6" t="n"/>
      <c r="F31" s="6" t="n"/>
      <c r="G31" s="11">
        <f>IF(OR(E31="",F31=""),"",E31*F31)</f>
        <v/>
      </c>
      <c r="H31" s="6" t="n"/>
      <c r="I31" s="11">
        <f>IF(AND(G31="",H31=""),"",IF(OR(H31="법규·고객 필수",H31="중대 비상",N(G31)&gt;=6),"중요","일반"))</f>
        <v/>
      </c>
      <c r="J31" s="5" t="n"/>
      <c r="K31" s="5" t="n"/>
    </row>
    <row r="32" ht="24" customHeight="1">
      <c r="A32" s="5" t="n"/>
      <c r="B32" s="5" t="n"/>
      <c r="C32" s="5" t="n"/>
      <c r="D32" s="6" t="n"/>
      <c r="E32" s="6" t="n"/>
      <c r="F32" s="6" t="n"/>
      <c r="G32" s="11">
        <f>IF(OR(E32="",F32=""),"",E32*F32)</f>
        <v/>
      </c>
      <c r="H32" s="6" t="n"/>
      <c r="I32" s="11">
        <f>IF(AND(G32="",H32=""),"",IF(OR(H32="법규·고객 필수",H32="중대 비상",N(G32)&gt;=6),"중요","일반"))</f>
        <v/>
      </c>
      <c r="J32" s="5" t="n"/>
      <c r="K32" s="5" t="n"/>
    </row>
    <row r="33" ht="24" customHeight="1">
      <c r="A33" s="5" t="n"/>
      <c r="B33" s="5" t="n"/>
      <c r="C33" s="5" t="n"/>
      <c r="D33" s="6" t="n"/>
      <c r="E33" s="6" t="n"/>
      <c r="F33" s="6" t="n"/>
      <c r="G33" s="11">
        <f>IF(OR(E33="",F33=""),"",E33*F33)</f>
        <v/>
      </c>
      <c r="H33" s="6" t="n"/>
      <c r="I33" s="11">
        <f>IF(AND(G33="",H33=""),"",IF(OR(H33="법규·고객 필수",H33="중대 비상",N(G33)&gt;=6),"중요","일반"))</f>
        <v/>
      </c>
      <c r="J33" s="5" t="n"/>
      <c r="K33" s="5" t="n"/>
    </row>
    <row r="34" ht="24" customHeight="1">
      <c r="A34" s="5" t="n"/>
      <c r="B34" s="5" t="n"/>
      <c r="C34" s="5" t="n"/>
      <c r="D34" s="6" t="n"/>
      <c r="E34" s="6" t="n"/>
      <c r="F34" s="6" t="n"/>
      <c r="G34" s="11">
        <f>IF(OR(E34="",F34=""),"",E34*F34)</f>
        <v/>
      </c>
      <c r="H34" s="6" t="n"/>
      <c r="I34" s="11">
        <f>IF(AND(G34="",H34=""),"",IF(OR(H34="법규·고객 필수",H34="중대 비상",N(G34)&gt;=6),"중요","일반"))</f>
        <v/>
      </c>
      <c r="J34" s="5" t="n"/>
      <c r="K34" s="5" t="n"/>
    </row>
    <row r="35" ht="24" customHeight="1">
      <c r="A35" s="5" t="n"/>
      <c r="B35" s="5" t="n"/>
      <c r="C35" s="5" t="n"/>
      <c r="D35" s="6" t="n"/>
      <c r="E35" s="6" t="n"/>
      <c r="F35" s="6" t="n"/>
      <c r="G35" s="11">
        <f>IF(OR(E35="",F35=""),"",E35*F35)</f>
        <v/>
      </c>
      <c r="H35" s="6" t="n"/>
      <c r="I35" s="11">
        <f>IF(AND(G35="",H35=""),"",IF(OR(H35="법규·고객 필수",H35="중대 비상",N(G35)&gt;=6),"중요","일반"))</f>
        <v/>
      </c>
      <c r="J35" s="5" t="n"/>
      <c r="K35" s="5" t="n"/>
    </row>
    <row r="36" ht="24" customHeight="1">
      <c r="A36" s="5" t="n"/>
      <c r="B36" s="5" t="n"/>
      <c r="C36" s="5" t="n"/>
      <c r="D36" s="6" t="n"/>
      <c r="E36" s="6" t="n"/>
      <c r="F36" s="6" t="n"/>
      <c r="G36" s="11">
        <f>IF(OR(E36="",F36=""),"",E36*F36)</f>
        <v/>
      </c>
      <c r="H36" s="6" t="n"/>
      <c r="I36" s="11">
        <f>IF(AND(G36="",H36=""),"",IF(OR(H36="법규·고객 필수",H36="중대 비상",N(G36)&gt;=6),"중요","일반"))</f>
        <v/>
      </c>
      <c r="J36" s="5" t="n"/>
      <c r="K36" s="5" t="n"/>
    </row>
    <row r="37" ht="24" customHeight="1">
      <c r="A37" s="5" t="n"/>
      <c r="B37" s="5" t="n"/>
      <c r="C37" s="5" t="n"/>
      <c r="D37" s="6" t="n"/>
      <c r="E37" s="6" t="n"/>
      <c r="F37" s="6" t="n"/>
      <c r="G37" s="11">
        <f>IF(OR(E37="",F37=""),"",E37*F37)</f>
        <v/>
      </c>
      <c r="H37" s="6" t="n"/>
      <c r="I37" s="11">
        <f>IF(AND(G37="",H37=""),"",IF(OR(H37="법규·고객 필수",H37="중대 비상",N(G37)&gt;=6),"중요","일반"))</f>
        <v/>
      </c>
      <c r="J37" s="5" t="n"/>
      <c r="K37" s="5" t="n"/>
    </row>
    <row r="38" ht="24" customHeight="1">
      <c r="A38" s="5" t="n"/>
      <c r="B38" s="5" t="n"/>
      <c r="C38" s="5" t="n"/>
      <c r="D38" s="6" t="n"/>
      <c r="E38" s="6" t="n"/>
      <c r="F38" s="6" t="n"/>
      <c r="G38" s="11">
        <f>IF(OR(E38="",F38=""),"",E38*F38)</f>
        <v/>
      </c>
      <c r="H38" s="6" t="n"/>
      <c r="I38" s="11">
        <f>IF(AND(G38="",H38=""),"",IF(OR(H38="법규·고객 필수",H38="중대 비상",N(G38)&gt;=6),"중요","일반"))</f>
        <v/>
      </c>
      <c r="J38" s="5" t="n"/>
      <c r="K38" s="5" t="n"/>
    </row>
    <row r="39" ht="6" customHeight="1"/>
    <row r="40" ht="16" customHeight="1">
      <c r="A40" s="7" t="inlineStr">
        <is>
          <t>첨부·대체 기록 번호와 보관 경로 / 적용 제외(해당없음) 사유 / 미결 확인 :</t>
        </is>
      </c>
      <c r="B40" s="13" t="n"/>
      <c r="C40" s="13" t="n"/>
      <c r="D40" s="13" t="n"/>
      <c r="E40" s="13" t="n"/>
      <c r="F40" s="8" t="inlineStr">
        <is>
          <t>구분</t>
        </is>
      </c>
      <c r="G40" s="8" t="n"/>
      <c r="H40" s="8" t="inlineStr">
        <is>
          <t>작성</t>
        </is>
      </c>
      <c r="I40" s="8" t="n"/>
      <c r="J40" s="8" t="inlineStr">
        <is>
          <t>검토</t>
        </is>
      </c>
      <c r="K40" s="8" t="inlineStr">
        <is>
          <t>승인</t>
        </is>
      </c>
    </row>
    <row r="41" ht="28" customHeight="1">
      <c r="A41" s="13" t="n"/>
      <c r="B41" s="13" t="n"/>
      <c r="C41" s="13" t="n"/>
      <c r="D41" s="13" t="n"/>
      <c r="E41" s="13" t="n"/>
      <c r="F41" s="9" t="inlineStr">
        <is>
          <t>성명·서명</t>
        </is>
      </c>
      <c r="G41" s="9" t="n"/>
      <c r="H41" s="10" t="n"/>
      <c r="I41" s="10" t="n"/>
      <c r="J41" s="10" t="n"/>
      <c r="K41" s="10" t="n"/>
    </row>
    <row r="42" ht="16" customHeight="1">
      <c r="A42" s="13" t="n"/>
      <c r="B42" s="13" t="n"/>
      <c r="C42" s="13" t="n"/>
      <c r="D42" s="13" t="n"/>
      <c r="E42" s="13" t="n"/>
      <c r="F42" s="9" t="inlineStr">
        <is>
          <t>일자</t>
        </is>
      </c>
      <c r="G42" s="9" t="n"/>
      <c r="H42" s="10" t="n"/>
      <c r="I42" s="10" t="n"/>
      <c r="J42" s="10" t="n"/>
      <c r="K42" s="10" t="n"/>
    </row>
  </sheetData>
  <mergeCells count="17">
    <mergeCell ref="C7:K7"/>
    <mergeCell ref="A3:K3"/>
    <mergeCell ref="J5:K5"/>
    <mergeCell ref="A7:B7"/>
    <mergeCell ref="B5:C5"/>
    <mergeCell ref="H42:I42"/>
    <mergeCell ref="A2:K2"/>
    <mergeCell ref="H41:I41"/>
    <mergeCell ref="A10:K10"/>
    <mergeCell ref="F42:G42"/>
    <mergeCell ref="B6:K6"/>
    <mergeCell ref="A40:E42"/>
    <mergeCell ref="F40:G40"/>
    <mergeCell ref="F41:G41"/>
    <mergeCell ref="H40:I40"/>
    <mergeCell ref="E5:H5"/>
    <mergeCell ref="A9:K9"/>
  </mergeCells>
  <conditionalFormatting sqref="D13:D38">
    <cfRule type="expression" priority="1" dxfId="0">
      <formula>OR(D13="불합격",D13="보류",D13="부적합",D13="미흡",D13="미준수",D13="미확인",D13="실패",D13="사용금지",D13="중지·개선",D13="재교육·동행",D13="C 발주중지",D13="중요")</formula>
    </cfRule>
  </conditionalFormatting>
  <conditionalFormatting sqref="E13:E38">
    <cfRule type="expression" priority="2" dxfId="0">
      <formula>OR(E13="불합격",E13="보류",E13="부적합",E13="미흡",E13="미준수",E13="미확인",E13="실패",E13="사용금지",E13="중지·개선",E13="재교육·동행",E13="C 발주중지",E13="중요")</formula>
    </cfRule>
  </conditionalFormatting>
  <conditionalFormatting sqref="F13:F38">
    <cfRule type="expression" priority="3" dxfId="0">
      <formula>OR(F13="불합격",F13="보류",F13="부적합",F13="미흡",F13="미준수",F13="미확인",F13="실패",F13="사용금지",F13="중지·개선",F13="재교육·동행",F13="C 발주중지",F13="중요")</formula>
    </cfRule>
  </conditionalFormatting>
  <conditionalFormatting sqref="H13:H38">
    <cfRule type="expression" priority="4" dxfId="0">
      <formula>OR(H13="불합격",H13="보류",H13="부적합",H13="미흡",H13="미준수",H13="미확인",H13="실패",H13="사용금지",H13="중지·개선",H13="재교육·동행",H13="C 발주중지",H13="중요")</formula>
    </cfRule>
  </conditionalFormatting>
  <conditionalFormatting sqref="G13:G38">
    <cfRule type="expression" priority="5" dxfId="0">
      <formula>OR(G13="불합격",G13="보류",G13="부적합",G13="미흡",G13="미준수",G13="미확인",G13="실패",G13="사용금지",G13="중지·개선",G13="재교육·동행",G13="C 발주중지",G13="중요")</formula>
    </cfRule>
    <cfRule type="expression" priority="7" dxfId="0">
      <formula>AND(ISNUMBER(G13),G13&gt;=6)</formula>
    </cfRule>
    <cfRule type="expression" priority="8" dxfId="1">
      <formula>AND(ISNUMBER(G13),G13&gt;=4)</formula>
    </cfRule>
  </conditionalFormatting>
  <conditionalFormatting sqref="I13:I38">
    <cfRule type="expression" priority="6" dxfId="0">
      <formula>OR(I13="불합격",I13="보류",I13="부적합",I13="미흡",I13="미준수",I13="미확인",I13="실패",I13="사용금지",I13="중지·개선",I13="재교육·동행",I13="C 발주중지",I13="중요")</formula>
    </cfRule>
  </conditionalFormatting>
  <dataValidations count="5">
    <dataValidation sqref="E5" showDropDown="0" showInputMessage="0" showErrorMessage="0" allowBlank="1" error="목록에서 고르십시오: 최초, 정기(연 1회), 변경" type="list" errorStyle="warning">
      <formula1>"최초,정기(연 1회),변경"</formula1>
    </dataValidation>
    <dataValidation sqref="D13:D38" showDropDown="0" showInputMessage="0" showErrorMessage="0" allowBlank="1" error="목록에서 고르십시오: 정상, 비정상, 비상" type="list" errorStyle="warning">
      <formula1>"정상,비정상,비상"</formula1>
    </dataValidation>
    <dataValidation sqref="E13:E38" showDropDown="0" showInputMessage="0" showErrorMessage="0" allowBlank="1" error="1~3 사이 정수를 입력하십시오." type="whole" operator="between">
      <formula1>1</formula1>
      <formula2>3</formula2>
    </dataValidation>
    <dataValidation sqref="F13:F38" showDropDown="0" showInputMessage="0" showErrorMessage="0" allowBlank="1" error="1~3 사이 정수를 입력하십시오." type="whole" operator="between">
      <formula1>1</formula1>
      <formula2>3</formula2>
    </dataValidation>
    <dataValidation sqref="H13:H38" showDropDown="0" showInputMessage="0" showErrorMessage="0" allowBlank="1" error="목록에서 고르십시오: 법규·고객 필수, 중대 비상, 해당없음" type="list" errorStyle="warning">
      <formula1>"법규·고객 필수,중대 비상,해당없음"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DI-EF-01 Rev.00 | 페이지 &amp;P / 전체 &amp;N</oddFooter>
    <evenHeader/>
    <evenFooter/>
    <firstHeader/>
    <firstFooter/>
  </headerFooter>
  <drawing xmlns:r="http://schemas.openxmlformats.org/officeDocument/2006/relationships" r:id="rId1"/>
</worksheet>
</file>

<file path=xl/worksheets/sheet33.xml><?xml version="1.0" encoding="utf-8"?>
<worksheet xmlns="http://schemas.openxmlformats.org/spreadsheetml/2006/main">
  <sheetPr>
    <outlinePr summaryBelow="1" summaryRight="1"/>
    <pageSetUpPr fitToPage="1"/>
  </sheetPr>
  <dimension ref="A2:G42"/>
  <sheetViews>
    <sheetView showGridLines="0" workbookViewId="0">
      <pane ySplit="13" topLeftCell="A14" activePane="bottomLeft" state="frozen"/>
      <selection pane="bottomLeft" activeCell="A1" sqref="A1"/>
    </sheetView>
  </sheetViews>
  <sheetFormatPr baseColWidth="8" defaultRowHeight="15"/>
  <cols>
    <col width="14.3" customWidth="1" min="1" max="1"/>
    <col width="28.7" customWidth="1" min="2" max="2"/>
    <col width="26.5" customWidth="1" min="3" max="3"/>
    <col width="11" customWidth="1" min="4" max="4"/>
    <col width="19.8" customWidth="1" min="5" max="5"/>
    <col width="19.8" customWidth="1" min="6" max="6"/>
    <col width="19.8" customWidth="1" min="7" max="7"/>
  </cols>
  <sheetData>
    <row r="1" ht="22" customHeight="1"/>
    <row r="2" ht="28" customHeight="1">
      <c r="A2" s="1" t="inlineStr">
        <is>
          <t>내부심사 계획 증거 및 결과</t>
        </is>
      </c>
      <c r="B2" s="1" t="n"/>
      <c r="C2" s="1" t="n"/>
      <c r="D2" s="1" t="n"/>
      <c r="E2" s="1" t="n"/>
      <c r="F2" s="1" t="n"/>
      <c r="G2" s="1" t="n"/>
    </row>
    <row r="3" ht="16" customHeight="1">
      <c r="A3" s="2" t="inlineStr">
        <is>
          <t>동인엔시스 | DI-MF-01 | Rev.00 | 제정 2026.10.01 | 시행 2026.10.01 (대표 승인)   ·   담당: 품질 / 독립된 심사원 | 작성: 연 1회·중대한 변경/지적 시 추가</t>
        </is>
      </c>
      <c r="B3" s="2" t="n"/>
      <c r="C3" s="2" t="n"/>
      <c r="D3" s="2" t="n"/>
      <c r="E3" s="2" t="n"/>
      <c r="F3" s="2" t="n"/>
      <c r="G3" s="2" t="n"/>
    </row>
    <row r="4" ht="4" customHeight="1"/>
    <row r="5" ht="20" customHeight="1">
      <c r="A5" s="12" t="inlineStr">
        <is>
          <t>심사 기간</t>
        </is>
      </c>
      <c r="B5" s="10" t="n"/>
      <c r="C5" s="10" t="n"/>
      <c r="D5" s="12" t="inlineStr">
        <is>
          <t>계획일</t>
        </is>
      </c>
      <c r="E5" s="10" t="n"/>
      <c r="F5" s="10" t="n"/>
      <c r="G5" s="10" t="n"/>
    </row>
    <row r="6" ht="20" customHeight="1">
      <c r="A6" s="12" t="inlineStr">
        <is>
          <t>범위·기준 (규격 판본·문서·고객요구)</t>
        </is>
      </c>
      <c r="B6" s="12" t="n"/>
      <c r="C6" s="10" t="n"/>
      <c r="D6" s="10" t="n"/>
      <c r="E6" s="10" t="n"/>
      <c r="F6" s="10" t="n"/>
      <c r="G6" s="10" t="n"/>
    </row>
    <row r="7" ht="28.3" customHeight="1">
      <c r="A7" s="12" t="inlineStr">
        <is>
          <t>부서별 심사원·일정</t>
        </is>
      </c>
      <c r="B7" s="10" t="n"/>
      <c r="C7" s="12" t="inlineStr">
        <is>
          <t>독립성·역량 확인</t>
        </is>
      </c>
      <c r="D7" s="10" t="n"/>
      <c r="E7" s="10" t="n"/>
      <c r="F7" s="12" t="inlineStr">
        <is>
          <t>심사보고일</t>
        </is>
      </c>
      <c r="G7" s="10" t="n"/>
    </row>
    <row r="8" ht="20" customHeight="1">
      <c r="A8" s="12" t="inlineStr">
        <is>
          <t>보고·공유 대상 / 후속 확인일</t>
        </is>
      </c>
      <c r="B8" s="12" t="n"/>
      <c r="C8" s="10" t="n"/>
      <c r="D8" s="10" t="n"/>
      <c r="E8" s="10" t="n"/>
      <c r="F8" s="10" t="n"/>
      <c r="G8" s="10" t="n"/>
    </row>
    <row r="9" ht="5" customHeight="1"/>
    <row r="10" ht="14.15" customHeight="1">
      <c r="A10" s="2" t="inlineStr">
        <is>
          <t>심사계획과 결과를 한 양식으로 관리한다. 규격별 전 범위를 연간 계획에 포함하고 위험·전년결과에 따라 표본·주기를 조정한다. 자기 업무 심사 금지.</t>
        </is>
      </c>
      <c r="B10" s="2" t="n"/>
      <c r="C10" s="2" t="n"/>
      <c r="D10" s="2" t="n"/>
      <c r="E10" s="2" t="n"/>
      <c r="F10" s="2" t="n"/>
      <c r="G10" s="2" t="n"/>
    </row>
    <row r="11" ht="14.15" customHeight="1">
      <c r="A11" s="2" t="inlineStr">
        <is>
          <t>프로젝트 기록뿐 아니라 근로자 참여, 비상훈련, 환경·안전 법규 준수평가, 변경관리까지 확인한다. 판정: 적합 / 부적합 / 관찰 / 해당없음.</t>
        </is>
      </c>
      <c r="B11" s="2" t="n"/>
      <c r="C11" s="2" t="n"/>
      <c r="D11" s="2" t="n"/>
      <c r="E11" s="2" t="n"/>
      <c r="F11" s="2" t="n"/>
      <c r="G11" s="2" t="n"/>
    </row>
    <row r="12" ht="5" customHeight="1"/>
    <row r="13" ht="26" customHeight="1">
      <c r="A13" s="3" t="inlineStr">
        <is>
          <t>프로세스·요구</t>
        </is>
      </c>
      <c r="B13" s="3" t="inlineStr">
        <is>
          <t>대상·표본</t>
        </is>
      </c>
      <c r="C13" s="3" t="inlineStr">
        <is>
          <t>확인한 객관적 증거</t>
        </is>
      </c>
      <c r="D13" s="3" t="inlineStr">
        <is>
          <t>판정</t>
        </is>
      </c>
      <c r="E13" s="3" t="inlineStr">
        <is>
          <t>부적합·요구조항</t>
        </is>
      </c>
      <c r="F13" s="3" t="inlineStr">
        <is>
          <t>QF-09·담당·기한</t>
        </is>
      </c>
      <c r="G13" s="3" t="inlineStr">
        <is>
          <t>후속·효과 확인</t>
        </is>
      </c>
    </row>
    <row r="14" ht="31.65" customHeight="1">
      <c r="A14" s="4" t="inlineStr">
        <is>
          <t>조직·방침</t>
        </is>
      </c>
      <c r="B14" s="4" t="inlineStr">
        <is>
          <t>범위·이해관계자·기후관련 판단·리더십</t>
        </is>
      </c>
      <c r="C14" s="5" t="n"/>
      <c r="D14" s="6" t="n"/>
      <c r="E14" s="5" t="n"/>
      <c r="F14" s="5" t="n"/>
      <c r="G14" s="5" t="n"/>
    </row>
    <row r="15" ht="26" customHeight="1">
      <c r="A15" s="4" t="inlineStr">
        <is>
          <t>수주·설계</t>
        </is>
      </c>
      <c r="B15" s="4" t="inlineStr">
        <is>
          <t>입력·검토·검증·변경·기준표</t>
        </is>
      </c>
      <c r="C15" s="5" t="n"/>
      <c r="D15" s="6" t="n"/>
      <c r="E15" s="5" t="n"/>
      <c r="F15" s="5" t="n"/>
      <c r="G15" s="5" t="n"/>
    </row>
    <row r="16" ht="26" customHeight="1">
      <c r="A16" s="4" t="inlineStr">
        <is>
          <t>구매·외주</t>
        </is>
      </c>
      <c r="B16" s="4" t="inlineStr">
        <is>
          <t>승인·성과·안전협의</t>
        </is>
      </c>
      <c r="C16" s="5" t="n"/>
      <c r="D16" s="6" t="n"/>
      <c r="E16" s="5" t="n"/>
      <c r="F16" s="5" t="n"/>
      <c r="G16" s="5" t="n"/>
    </row>
    <row r="17" ht="31.65" customHeight="1">
      <c r="A17" s="4" t="inlineStr">
        <is>
          <t>제조·검사</t>
        </is>
      </c>
      <c r="B17" s="4" t="inlineStr">
        <is>
          <t>판넬 LOT·작업자·배선·FAT·교정·출하</t>
        </is>
      </c>
      <c r="C17" s="5" t="n"/>
      <c r="D17" s="6" t="n"/>
      <c r="E17" s="5" t="n"/>
      <c r="F17" s="5" t="n"/>
      <c r="G17" s="5" t="n"/>
    </row>
    <row r="18" ht="26" customHeight="1">
      <c r="A18" s="4" t="inlineStr">
        <is>
          <t>현장·고객</t>
        </is>
      </c>
      <c r="B18" s="4" t="inlineStr">
        <is>
          <t>SAT·인수·AS·고객재산</t>
        </is>
      </c>
      <c r="C18" s="5" t="n"/>
      <c r="D18" s="6" t="n"/>
      <c r="E18" s="5" t="n"/>
      <c r="F18" s="5" t="n"/>
      <c r="G18" s="5" t="n"/>
    </row>
    <row r="19" ht="26" customHeight="1">
      <c r="A19" s="4" t="inlineStr">
        <is>
          <t>지원</t>
        </is>
      </c>
      <c r="B19" s="4" t="inlineStr">
        <is>
          <t>문서·백업·교육·검사원 역량</t>
        </is>
      </c>
      <c r="C19" s="5" t="n"/>
      <c r="D19" s="6" t="n"/>
      <c r="E19" s="5" t="n"/>
      <c r="F19" s="5" t="n"/>
      <c r="G19" s="5" t="n"/>
    </row>
    <row r="20" ht="26" customHeight="1">
      <c r="A20" s="4" t="inlineStr">
        <is>
          <t>안전</t>
        </is>
      </c>
      <c r="B20" s="4" t="inlineStr">
        <is>
          <t>근로자 참여·위험·변경·비상·사건</t>
        </is>
      </c>
      <c r="C20" s="5" t="n"/>
      <c r="D20" s="6" t="n"/>
      <c r="E20" s="5" t="n"/>
      <c r="F20" s="5" t="n"/>
      <c r="G20" s="5" t="n"/>
    </row>
    <row r="21" ht="26" customHeight="1">
      <c r="A21" s="4" t="inlineStr">
        <is>
          <t>환경</t>
        </is>
      </c>
      <c r="B21" s="4" t="inlineStr">
        <is>
          <t>중요측면·수명주기·법규·성과</t>
        </is>
      </c>
      <c r="C21" s="5" t="n"/>
      <c r="D21" s="6" t="n"/>
      <c r="E21" s="5" t="n"/>
      <c r="F21" s="5" t="n"/>
      <c r="G21" s="5" t="n"/>
    </row>
    <row r="22" ht="26" customHeight="1">
      <c r="A22" s="4" t="inlineStr">
        <is>
          <t>평가·개선</t>
        </is>
      </c>
      <c r="B22" s="4" t="inlineStr">
        <is>
          <t>목표·준수평가·경영검토·시정효과</t>
        </is>
      </c>
      <c r="C22" s="5" t="n"/>
      <c r="D22" s="6" t="n"/>
      <c r="E22" s="5" t="n"/>
      <c r="F22" s="5" t="n"/>
      <c r="G22" s="5" t="n"/>
    </row>
    <row r="23" ht="26" customHeight="1">
      <c r="A23" s="5" t="n"/>
      <c r="B23" s="5" t="n"/>
      <c r="C23" s="5" t="n"/>
      <c r="D23" s="6" t="n"/>
      <c r="E23" s="5" t="n"/>
      <c r="F23" s="5" t="n"/>
      <c r="G23" s="5" t="n"/>
    </row>
    <row r="24" ht="26" customHeight="1">
      <c r="A24" s="5" t="n"/>
      <c r="B24" s="5" t="n"/>
      <c r="C24" s="5" t="n"/>
      <c r="D24" s="6" t="n"/>
      <c r="E24" s="5" t="n"/>
      <c r="F24" s="5" t="n"/>
      <c r="G24" s="5" t="n"/>
    </row>
    <row r="25" ht="26" customHeight="1">
      <c r="A25" s="5" t="n"/>
      <c r="B25" s="5" t="n"/>
      <c r="C25" s="5" t="n"/>
      <c r="D25" s="6" t="n"/>
      <c r="E25" s="5" t="n"/>
      <c r="F25" s="5" t="n"/>
      <c r="G25" s="5" t="n"/>
    </row>
    <row r="26" ht="26" customHeight="1">
      <c r="A26" s="5" t="n"/>
      <c r="B26" s="5" t="n"/>
      <c r="C26" s="5" t="n"/>
      <c r="D26" s="6" t="n"/>
      <c r="E26" s="5" t="n"/>
      <c r="F26" s="5" t="n"/>
      <c r="G26" s="5" t="n"/>
    </row>
    <row r="27" ht="26" customHeight="1">
      <c r="A27" s="5" t="n"/>
      <c r="B27" s="5" t="n"/>
      <c r="C27" s="5" t="n"/>
      <c r="D27" s="6" t="n"/>
      <c r="E27" s="5" t="n"/>
      <c r="F27" s="5" t="n"/>
      <c r="G27" s="5" t="n"/>
    </row>
    <row r="28" ht="26" customHeight="1">
      <c r="A28" s="5" t="n"/>
      <c r="B28" s="5" t="n"/>
      <c r="C28" s="5" t="n"/>
      <c r="D28" s="6" t="n"/>
      <c r="E28" s="5" t="n"/>
      <c r="F28" s="5" t="n"/>
      <c r="G28" s="5" t="n"/>
    </row>
    <row r="29" ht="26" customHeight="1">
      <c r="A29" s="5" t="n"/>
      <c r="B29" s="5" t="n"/>
      <c r="C29" s="5" t="n"/>
      <c r="D29" s="6" t="n"/>
      <c r="E29" s="5" t="n"/>
      <c r="F29" s="5" t="n"/>
      <c r="G29" s="5" t="n"/>
    </row>
    <row r="30" ht="26" customHeight="1">
      <c r="A30" s="5" t="n"/>
      <c r="B30" s="5" t="n"/>
      <c r="C30" s="5" t="n"/>
      <c r="D30" s="6" t="n"/>
      <c r="E30" s="5" t="n"/>
      <c r="F30" s="5" t="n"/>
      <c r="G30" s="5" t="n"/>
    </row>
    <row r="31" ht="26" customHeight="1">
      <c r="A31" s="5" t="n"/>
      <c r="B31" s="5" t="n"/>
      <c r="C31" s="5" t="n"/>
      <c r="D31" s="6" t="n"/>
      <c r="E31" s="5" t="n"/>
      <c r="F31" s="5" t="n"/>
      <c r="G31" s="5" t="n"/>
    </row>
    <row r="32" ht="26" customHeight="1">
      <c r="A32" s="5" t="n"/>
      <c r="B32" s="5" t="n"/>
      <c r="C32" s="5" t="n"/>
      <c r="D32" s="6" t="n"/>
      <c r="E32" s="5" t="n"/>
      <c r="F32" s="5" t="n"/>
      <c r="G32" s="5" t="n"/>
    </row>
    <row r="33" ht="26" customHeight="1">
      <c r="A33" s="5" t="n"/>
      <c r="B33" s="5" t="n"/>
      <c r="C33" s="5" t="n"/>
      <c r="D33" s="6" t="n"/>
      <c r="E33" s="5" t="n"/>
      <c r="F33" s="5" t="n"/>
      <c r="G33" s="5" t="n"/>
    </row>
    <row r="34" ht="26" customHeight="1">
      <c r="A34" s="5" t="n"/>
      <c r="B34" s="5" t="n"/>
      <c r="C34" s="5" t="n"/>
      <c r="D34" s="6" t="n"/>
      <c r="E34" s="5" t="n"/>
      <c r="F34" s="5" t="n"/>
      <c r="G34" s="5" t="n"/>
    </row>
    <row r="35" ht="26" customHeight="1">
      <c r="A35" s="5" t="n"/>
      <c r="B35" s="5" t="n"/>
      <c r="C35" s="5" t="n"/>
      <c r="D35" s="6" t="n"/>
      <c r="E35" s="5" t="n"/>
      <c r="F35" s="5" t="n"/>
      <c r="G35" s="5" t="n"/>
    </row>
    <row r="36" ht="26" customHeight="1">
      <c r="A36" s="5" t="n"/>
      <c r="B36" s="5" t="n"/>
      <c r="C36" s="5" t="n"/>
      <c r="D36" s="6" t="n"/>
      <c r="E36" s="5" t="n"/>
      <c r="F36" s="5" t="n"/>
      <c r="G36" s="5" t="n"/>
    </row>
    <row r="37" ht="26" customHeight="1">
      <c r="A37" s="5" t="n"/>
      <c r="B37" s="5" t="n"/>
      <c r="C37" s="5" t="n"/>
      <c r="D37" s="6" t="n"/>
      <c r="E37" s="5" t="n"/>
      <c r="F37" s="5" t="n"/>
      <c r="G37" s="5" t="n"/>
    </row>
    <row r="38" ht="26" customHeight="1">
      <c r="A38" s="5" t="n"/>
      <c r="B38" s="5" t="n"/>
      <c r="C38" s="5" t="n"/>
      <c r="D38" s="6" t="n"/>
      <c r="E38" s="5" t="n"/>
      <c r="F38" s="5" t="n"/>
      <c r="G38" s="5" t="n"/>
    </row>
    <row r="39" ht="6" customHeight="1"/>
    <row r="40" ht="16" customHeight="1">
      <c r="A40" s="7" t="inlineStr">
        <is>
          <t>첨부·대체 기록 번호와 보관 경로 / 적용 제외(해당없음) 사유 / 미결 확인 :</t>
        </is>
      </c>
      <c r="B40" s="13" t="n"/>
      <c r="C40" s="13" t="n"/>
      <c r="D40" s="8" t="inlineStr">
        <is>
          <t>구분</t>
        </is>
      </c>
      <c r="E40" s="8" t="inlineStr">
        <is>
          <t>작성</t>
        </is>
      </c>
      <c r="F40" s="8" t="inlineStr">
        <is>
          <t>검토</t>
        </is>
      </c>
      <c r="G40" s="8" t="inlineStr">
        <is>
          <t>승인</t>
        </is>
      </c>
    </row>
    <row r="41" ht="28" customHeight="1">
      <c r="A41" s="13" t="n"/>
      <c r="B41" s="13" t="n"/>
      <c r="C41" s="13" t="n"/>
      <c r="D41" s="9" t="inlineStr">
        <is>
          <t>성명·서명</t>
        </is>
      </c>
      <c r="E41" s="10" t="n"/>
      <c r="F41" s="10" t="n"/>
      <c r="G41" s="10" t="n"/>
    </row>
    <row r="42" ht="16" customHeight="1">
      <c r="A42" s="13" t="n"/>
      <c r="B42" s="13" t="n"/>
      <c r="C42" s="13" t="n"/>
      <c r="D42" s="9" t="inlineStr">
        <is>
          <t>일자</t>
        </is>
      </c>
      <c r="E42" s="10" t="n"/>
      <c r="F42" s="10" t="n"/>
      <c r="G42" s="10" t="n"/>
    </row>
  </sheetData>
  <mergeCells count="12">
    <mergeCell ref="C8:G8"/>
    <mergeCell ref="D7:E7"/>
    <mergeCell ref="A40:C42"/>
    <mergeCell ref="C6:G6"/>
    <mergeCell ref="A3:G3"/>
    <mergeCell ref="B5:C5"/>
    <mergeCell ref="E5:G5"/>
    <mergeCell ref="A2:G2"/>
    <mergeCell ref="A8:B8"/>
    <mergeCell ref="A11:G11"/>
    <mergeCell ref="A6:B6"/>
    <mergeCell ref="A10:G10"/>
  </mergeCells>
  <conditionalFormatting sqref="D14:D38">
    <cfRule type="expression" priority="1" dxfId="0">
      <formula>OR(D14="불합격",D14="보류",D14="부적합",D14="미흡",D14="미준수",D14="미확인",D14="실패",D14="사용금지",D14="중지·개선",D14="재교육·동행",D14="C 발주중지",D14="중요")</formula>
    </cfRule>
  </conditionalFormatting>
  <dataValidations count="1">
    <dataValidation sqref="D14:D38" showDropDown="0" showInputMessage="0" showErrorMessage="0" allowBlank="1" error="목록에서 고르십시오: 적합, 부적합, 관찰, 해당없음" type="list" errorStyle="warning">
      <formula1>"적합,부적합,관찰,해당없음"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DI-MF-01 Rev.00 | 페이지 &amp;P / 전체 &amp;N</oddFooter>
    <evenHeader/>
    <evenFooter/>
    <firstHeader/>
    <firstFooter/>
  </headerFooter>
  <drawing xmlns:r="http://schemas.openxmlformats.org/officeDocument/2006/relationships" r:id="rId1"/>
</worksheet>
</file>

<file path=xl/worksheets/sheet34.xml><?xml version="1.0" encoding="utf-8"?>
<worksheet xmlns="http://schemas.openxmlformats.org/spreadsheetml/2006/main">
  <sheetPr>
    <outlinePr summaryBelow="1" summaryRight="1"/>
    <pageSetUpPr fitToPage="1"/>
  </sheetPr>
  <dimension ref="A2:F27"/>
  <sheetViews>
    <sheetView showGridLines="0" workbookViewId="0">
      <selection activeCell="A1" sqref="A1"/>
    </sheetView>
  </sheetViews>
  <sheetFormatPr baseColWidth="8" defaultRowHeight="15"/>
  <cols>
    <col width="18.1" customWidth="1" min="1" max="1"/>
    <col width="33.9" customWidth="1" min="2" max="2"/>
    <col width="27.1" customWidth="1" min="3" max="3"/>
    <col width="24.8" customWidth="1" min="4" max="4"/>
    <col width="15.8" customWidth="1" min="5" max="5"/>
    <col width="20.3" customWidth="1" min="6" max="6"/>
  </cols>
  <sheetData>
    <row r="1" ht="22" customHeight="1"/>
    <row r="2" ht="28" customHeight="1">
      <c r="A2" s="1" t="inlineStr">
        <is>
          <t>통합 경영검토 및 결정 추적</t>
        </is>
      </c>
      <c r="B2" s="1" t="n"/>
      <c r="C2" s="1" t="n"/>
      <c r="D2" s="1" t="n"/>
      <c r="E2" s="1" t="n"/>
      <c r="F2" s="1" t="n"/>
    </row>
    <row r="3" ht="16" customHeight="1">
      <c r="A3" s="2" t="inlineStr">
        <is>
          <t>동인엔시스 | DI-MF-02 | Rev.00 | 제정 2026.10.01 | 시행 2026.10.01 (대표 승인)   ·   담당: 대표이사 / 품질 | 작성: 연 1회·중대한 변경 시</t>
        </is>
      </c>
      <c r="B3" s="2" t="n"/>
      <c r="C3" s="2" t="n"/>
      <c r="D3" s="2" t="n"/>
      <c r="E3" s="2" t="n"/>
      <c r="F3" s="2" t="n"/>
    </row>
    <row r="4" ht="4" customHeight="1"/>
    <row r="5" ht="20" customHeight="1">
      <c r="A5" s="12" t="inlineStr">
        <is>
          <t>검토일</t>
        </is>
      </c>
      <c r="B5" s="10" t="n"/>
      <c r="C5" s="10" t="n"/>
      <c r="D5" s="12" t="inlineStr">
        <is>
          <t>대상 기간</t>
        </is>
      </c>
      <c r="E5" s="10" t="n"/>
      <c r="F5" s="10" t="n"/>
    </row>
    <row r="6" ht="20" customHeight="1">
      <c r="A6" s="12" t="inlineStr">
        <is>
          <t>참석자</t>
        </is>
      </c>
      <c r="B6" s="10" t="n"/>
      <c r="C6" s="10" t="n"/>
      <c r="D6" s="10" t="n"/>
      <c r="E6" s="10" t="n"/>
      <c r="F6" s="10" t="n"/>
    </row>
    <row r="7" ht="28.3" customHeight="1">
      <c r="A7" s="12" t="inlineStr">
        <is>
          <t>결정 공유 대상 (근로자 포함)</t>
        </is>
      </c>
      <c r="B7" s="10" t="n"/>
      <c r="C7" s="10" t="n"/>
      <c r="D7" s="12" t="inlineStr">
        <is>
          <t>공유일·증거</t>
        </is>
      </c>
      <c r="E7" s="10" t="n"/>
      <c r="F7" s="10" t="n"/>
    </row>
    <row r="8" ht="5" customHeight="1"/>
    <row r="9" ht="14.15" customHeight="1">
      <c r="A9" s="2" t="inlineStr">
        <is>
          <t>출력은 통합경영시스템의 적절성·충족성·효과성 판단과 개선·변경·자원 결정을 포함한다. 검토 생략 항목은 이유를 기록한다.</t>
        </is>
      </c>
      <c r="B9" s="2" t="n"/>
      <c r="C9" s="2" t="n"/>
      <c r="D9" s="2" t="n"/>
      <c r="E9" s="2" t="n"/>
      <c r="F9" s="2" t="n"/>
    </row>
    <row r="10" ht="5" customHeight="1"/>
    <row r="11" ht="26" customHeight="1">
      <c r="A11" s="3" t="inlineStr">
        <is>
          <t>입력사항</t>
        </is>
      </c>
      <c r="B11" s="3" t="inlineStr">
        <is>
          <t>현황·추이·증거</t>
        </is>
      </c>
      <c r="C11" s="3" t="inlineStr">
        <is>
          <t>판단·결정</t>
        </is>
      </c>
      <c r="D11" s="3" t="inlineStr">
        <is>
          <t>조치·필요 자원</t>
        </is>
      </c>
      <c r="E11" s="3" t="inlineStr">
        <is>
          <t>담당·기한</t>
        </is>
      </c>
      <c r="F11" s="3" t="inlineStr">
        <is>
          <t>후속 결과</t>
        </is>
      </c>
    </row>
    <row r="12" ht="24" customHeight="1">
      <c r="A12" s="4" t="inlineStr">
        <is>
          <t>이전 조치</t>
        </is>
      </c>
      <c r="B12" s="4" t="inlineStr">
        <is>
          <t>미완료·완료 효과</t>
        </is>
      </c>
      <c r="C12" s="5" t="n"/>
      <c r="D12" s="5" t="n"/>
      <c r="E12" s="5" t="n"/>
      <c r="F12" s="5" t="n"/>
    </row>
    <row r="13" ht="24" customHeight="1">
      <c r="A13" s="4" t="inlineStr">
        <is>
          <t>상황·이해관계자</t>
        </is>
      </c>
      <c r="B13" s="4" t="inlineStr">
        <is>
          <t>기후·법규·고객요구·위험 변화 (MF-04)</t>
        </is>
      </c>
      <c r="C13" s="5" t="n"/>
      <c r="D13" s="5" t="n"/>
      <c r="E13" s="5" t="n"/>
      <c r="F13" s="5" t="n"/>
    </row>
    <row r="14" ht="24" customHeight="1">
      <c r="A14" s="4" t="inlineStr">
        <is>
          <t>고객 만족</t>
        </is>
      </c>
      <c r="B14" s="4" t="inlineStr">
        <is>
          <t>QF-14 의견·클레임·고객감사 결과</t>
        </is>
      </c>
      <c r="C14" s="5" t="n"/>
      <c r="D14" s="5" t="n"/>
      <c r="E14" s="5" t="n"/>
      <c r="F14" s="5" t="n"/>
    </row>
    <row r="15" ht="24" customHeight="1">
      <c r="A15" s="4" t="inlineStr">
        <is>
          <t>목표·성과</t>
        </is>
      </c>
      <c r="B15" s="4" t="inlineStr">
        <is>
          <t>MF-03 품질·납기·환경·안전 지표 추이</t>
        </is>
      </c>
      <c r="C15" s="5" t="n"/>
      <c r="D15" s="5" t="n"/>
      <c r="E15" s="5" t="n"/>
      <c r="F15" s="5" t="n"/>
    </row>
    <row r="16" ht="24" customHeight="1">
      <c r="A16" s="4" t="inlineStr">
        <is>
          <t>프로세스·제품</t>
        </is>
      </c>
      <c r="B16" s="4" t="inlineStr">
        <is>
          <t>FAT 1차 합격률·NCR·AS·계측기 이상</t>
        </is>
      </c>
      <c r="C16" s="5" t="n"/>
      <c r="D16" s="5" t="n"/>
      <c r="E16" s="5" t="n"/>
      <c r="F16" s="5" t="n"/>
    </row>
    <row r="17" ht="24" customHeight="1">
      <c r="A17" s="4" t="inlineStr">
        <is>
          <t>심사·NCR</t>
        </is>
      </c>
      <c r="B17" s="4" t="inlineStr">
        <is>
          <t>내/외부심사·사건·클레임·시정효과</t>
        </is>
      </c>
      <c r="C17" s="5" t="n"/>
      <c r="D17" s="5" t="n"/>
      <c r="E17" s="5" t="n"/>
      <c r="F17" s="5" t="n"/>
    </row>
    <row r="18" ht="24" customHeight="1">
      <c r="A18" s="4" t="inlineStr">
        <is>
          <t>공급자</t>
        </is>
      </c>
      <c r="B18" s="4" t="inlineStr">
        <is>
          <t>QF-10 품질·납기·안전성과</t>
        </is>
      </c>
      <c r="C18" s="5" t="n"/>
      <c r="D18" s="5" t="n"/>
      <c r="E18" s="5" t="n"/>
      <c r="F18" s="5" t="n"/>
    </row>
    <row r="19" ht="24" customHeight="1">
      <c r="A19" s="4" t="inlineStr">
        <is>
          <t>법규</t>
        </is>
      </c>
      <c r="B19" s="4" t="inlineStr">
        <is>
          <t>MF-05 준수평가·미준수</t>
        </is>
      </c>
      <c r="C19" s="5" t="n"/>
      <c r="D19" s="5" t="n"/>
      <c r="E19" s="5" t="n"/>
      <c r="F19" s="5" t="n"/>
    </row>
    <row r="20" ht="24" customHeight="1">
      <c r="A20" s="4" t="inlineStr">
        <is>
          <t>근로자·비상</t>
        </is>
      </c>
      <c r="B20" s="4" t="inlineStr">
        <is>
          <t>MF-06 협의·교육·훈련·소통</t>
        </is>
      </c>
      <c r="C20" s="5" t="n"/>
      <c r="D20" s="5" t="n"/>
      <c r="E20" s="5" t="n"/>
      <c r="F20" s="5" t="n"/>
    </row>
    <row r="21" ht="24" customHeight="1">
      <c r="A21" s="4" t="inlineStr">
        <is>
          <t>위험·기회</t>
        </is>
      </c>
      <c r="B21" s="4" t="inlineStr">
        <is>
          <t>대응 효과·추가 필요</t>
        </is>
      </c>
      <c r="C21" s="5" t="n"/>
      <c r="D21" s="5" t="n"/>
      <c r="E21" s="5" t="n"/>
      <c r="F21" s="5" t="n"/>
    </row>
    <row r="22" ht="24" customHeight="1">
      <c r="A22" s="4" t="inlineStr">
        <is>
          <t>자원·개선</t>
        </is>
      </c>
      <c r="B22" s="4" t="inlineStr">
        <is>
          <t>인력·설비·예산·시스템 변경</t>
        </is>
      </c>
      <c r="C22" s="5" t="n"/>
      <c r="D22" s="5" t="n"/>
      <c r="E22" s="5" t="n"/>
      <c r="F22" s="5" t="n"/>
    </row>
    <row r="23" ht="24" customHeight="1">
      <c r="A23" s="5" t="n"/>
      <c r="B23" s="5" t="n"/>
      <c r="C23" s="5" t="n"/>
      <c r="D23" s="5" t="n"/>
      <c r="E23" s="5" t="n"/>
      <c r="F23" s="5" t="n"/>
    </row>
    <row r="24" ht="6" customHeight="1"/>
    <row r="25" ht="16" customHeight="1">
      <c r="A25" s="7" t="inlineStr">
        <is>
          <t>첨부·대체 기록 번호와 보관 경로 / 적용 제외(해당없음) 사유 / 미결 확인 :</t>
        </is>
      </c>
      <c r="B25" s="13" t="n"/>
      <c r="C25" s="8" t="inlineStr">
        <is>
          <t>구분</t>
        </is>
      </c>
      <c r="D25" s="8" t="inlineStr">
        <is>
          <t>작성(품질)</t>
        </is>
      </c>
      <c r="E25" s="8" t="inlineStr">
        <is>
          <t>검토</t>
        </is>
      </c>
      <c r="F25" s="8" t="inlineStr">
        <is>
          <t>승인(대표)</t>
        </is>
      </c>
    </row>
    <row r="26" ht="28" customHeight="1">
      <c r="A26" s="13" t="n"/>
      <c r="B26" s="13" t="n"/>
      <c r="C26" s="9" t="inlineStr">
        <is>
          <t>성명·서명</t>
        </is>
      </c>
      <c r="D26" s="10" t="n"/>
      <c r="E26" s="10" t="n"/>
      <c r="F26" s="10" t="n"/>
    </row>
    <row r="27" ht="16" customHeight="1">
      <c r="A27" s="13" t="n"/>
      <c r="B27" s="13" t="n"/>
      <c r="C27" s="9" t="inlineStr">
        <is>
          <t>일자</t>
        </is>
      </c>
      <c r="D27" s="10" t="n"/>
      <c r="E27" s="10" t="n"/>
      <c r="F27" s="10" t="n"/>
    </row>
  </sheetData>
  <mergeCells count="9">
    <mergeCell ref="A2:F2"/>
    <mergeCell ref="B6:F6"/>
    <mergeCell ref="B7:C7"/>
    <mergeCell ref="E7:F7"/>
    <mergeCell ref="B5:C5"/>
    <mergeCell ref="A9:F9"/>
    <mergeCell ref="E5:F5"/>
    <mergeCell ref="A3:F3"/>
    <mergeCell ref="A25:B27"/>
  </mergeCells>
  <printOptions horizontalCentered="1"/>
  <pageMargins left="0.45" right="0.45" top="0.5" bottom="0.55" header="0.25" footer="0.25"/>
  <pageSetup orientation="landscape" paperSize="9" fitToHeight="1" fitToWidth="1"/>
  <headerFooter>
    <oddHeader/>
    <oddFooter>&amp;C&amp;"Malgun Gothic"&amp;8 동인엔시스 | DI-MF-02 Rev.00 | 페이지 &amp;P / 전체 &amp;N</oddFooter>
    <evenHeader/>
    <evenFooter/>
    <firstHeader/>
    <firstFooter/>
  </headerFooter>
  <drawing xmlns:r="http://schemas.openxmlformats.org/officeDocument/2006/relationships" r:id="rId1"/>
</worksheet>
</file>

<file path=xl/worksheets/sheet35.xml><?xml version="1.0" encoding="utf-8"?>
<worksheet xmlns="http://schemas.openxmlformats.org/spreadsheetml/2006/main">
  <sheetPr>
    <outlinePr summaryBelow="1" summaryRight="1"/>
    <pageSetUpPr fitToPage="1"/>
  </sheetPr>
  <dimension ref="A2:H21"/>
  <sheetViews>
    <sheetView showGridLines="0" workbookViewId="0">
      <selection activeCell="A1" sqref="A1"/>
    </sheetView>
  </sheetViews>
  <sheetFormatPr baseColWidth="8" defaultRowHeight="15"/>
  <cols>
    <col width="14.7" customWidth="1" min="1" max="1"/>
    <col width="27.4" customWidth="1" min="2" max="2"/>
    <col width="12.6" customWidth="1" min="3" max="3"/>
    <col width="21.1" customWidth="1" min="4" max="4"/>
    <col width="9.5" customWidth="1" min="5" max="5"/>
    <col width="14.7" customWidth="1" min="6" max="6"/>
    <col width="14.7" customWidth="1" min="7" max="7"/>
    <col width="25.3" customWidth="1" min="8" max="8"/>
  </cols>
  <sheetData>
    <row r="1" ht="22" customHeight="1"/>
    <row r="2" ht="28" customHeight="1">
      <c r="A2" s="1" t="inlineStr">
        <is>
          <t>연간 목표 실행계획 및 성과</t>
        </is>
      </c>
      <c r="B2" s="1" t="n"/>
      <c r="C2" s="1" t="n"/>
      <c r="D2" s="1" t="n"/>
      <c r="E2" s="1" t="n"/>
      <c r="F2" s="1" t="n"/>
      <c r="G2" s="1" t="n"/>
      <c r="H2" s="1" t="n"/>
    </row>
    <row r="3" ht="16" customHeight="1">
      <c r="A3" s="2" t="inlineStr">
        <is>
          <t>동인엔시스 | DI-MF-03 | Rev.00 | 제정 2026.10.01 | 시행 2026.10.01 (대표 승인)   ·   담당: 대표 / 각 담당 | 작성: 연초 계획·반기 실적 (6·12월)·경영검토</t>
        </is>
      </c>
      <c r="B3" s="2" t="n"/>
      <c r="C3" s="2" t="n"/>
      <c r="D3" s="2" t="n"/>
      <c r="E3" s="2" t="n"/>
      <c r="F3" s="2" t="n"/>
      <c r="G3" s="2" t="n"/>
      <c r="H3" s="2" t="n"/>
    </row>
    <row r="4" ht="4" customHeight="1"/>
    <row r="5" ht="20" customHeight="1">
      <c r="A5" s="12" t="inlineStr">
        <is>
          <t>대상연도</t>
        </is>
      </c>
      <c r="B5" s="10" t="n"/>
      <c r="C5" s="10" t="n"/>
      <c r="D5" s="10" t="n"/>
      <c r="E5" s="10" t="n"/>
      <c r="F5" s="12" t="inlineStr">
        <is>
          <t>승인자·일자</t>
        </is>
      </c>
      <c r="G5" s="10" t="n"/>
      <c r="H5" s="10" t="n"/>
    </row>
    <row r="6" ht="5" customHeight="1"/>
    <row r="7" ht="14.15" customHeight="1">
      <c r="A7" s="2" t="inlineStr">
        <is>
          <t>고객·법규·중요측면·위험 결과와 연결한다. 사내 목표값은 대표 승인 후 유효하다. 반기 실적과 증거를 적고, 사고 0건만으로 안전성과를 평가하지 않고 고위험 개선 이행 등 선행지표도 본다.</t>
        </is>
      </c>
      <c r="B7" s="2" t="n"/>
      <c r="C7" s="2" t="n"/>
      <c r="D7" s="2" t="n"/>
      <c r="E7" s="2" t="n"/>
      <c r="F7" s="2" t="n"/>
      <c r="G7" s="2" t="n"/>
      <c r="H7" s="2" t="n"/>
    </row>
    <row r="8" ht="5" customHeight="1"/>
    <row r="9" ht="26" customHeight="1">
      <c r="A9" s="3" t="inlineStr">
        <is>
          <t>분야·목표</t>
        </is>
      </c>
      <c r="B9" s="3" t="inlineStr">
        <is>
          <t>지표·산식·기준실적</t>
        </is>
      </c>
      <c r="C9" s="3" t="inlineStr">
        <is>
          <t>목표값·기한</t>
        </is>
      </c>
      <c r="D9" s="3" t="inlineStr">
        <is>
          <t>실행계획·필요자원</t>
        </is>
      </c>
      <c r="E9" s="3" t="inlineStr">
        <is>
          <t>담당</t>
        </is>
      </c>
      <c r="F9" s="3" t="inlineStr">
        <is>
          <t>상반기 실적</t>
        </is>
      </c>
      <c r="G9" s="3" t="inlineStr">
        <is>
          <t>하반기 실적</t>
        </is>
      </c>
      <c r="H9" s="3" t="inlineStr">
        <is>
          <t>평가·미달조치</t>
        </is>
      </c>
    </row>
    <row r="10" ht="31.65" customHeight="1">
      <c r="A10" s="4" t="inlineStr">
        <is>
          <t>품질·FAT</t>
        </is>
      </c>
      <c r="B10" s="4" t="inlineStr">
        <is>
          <t>FAT 1차 합격률 = 재작업 없는 최초 합격 판넬 / 시험 판넬</t>
        </is>
      </c>
      <c r="C10" s="5" t="n"/>
      <c r="D10" s="5" t="n"/>
      <c r="E10" s="5" t="n"/>
      <c r="F10" s="5" t="n"/>
      <c r="G10" s="5" t="n"/>
      <c r="H10" s="5" t="n"/>
    </row>
    <row r="11" ht="31.65" customHeight="1">
      <c r="A11" s="4" t="inlineStr">
        <is>
          <t>품질·납기</t>
        </is>
      </c>
      <c r="B11" s="4" t="inlineStr">
        <is>
          <t>납기준수율 = 약정 납기 내 납품 / 전체 납품</t>
        </is>
      </c>
      <c r="C11" s="5" t="n"/>
      <c r="D11" s="5" t="n"/>
      <c r="E11" s="5" t="n"/>
      <c r="F11" s="5" t="n"/>
      <c r="G11" s="5" t="n"/>
      <c r="H11" s="5" t="n"/>
    </row>
    <row r="12" ht="31.65" customHeight="1">
      <c r="A12" s="4" t="inlineStr">
        <is>
          <t>고객</t>
        </is>
      </c>
      <c r="B12" s="4" t="inlineStr">
        <is>
          <t>클레임·AS 건수 또는 고객 만족 점수 (QF-14)</t>
        </is>
      </c>
      <c r="C12" s="5" t="n"/>
      <c r="D12" s="5" t="n"/>
      <c r="E12" s="5" t="n"/>
      <c r="F12" s="5" t="n"/>
      <c r="G12" s="5" t="n"/>
      <c r="H12" s="5" t="n"/>
    </row>
    <row r="13" ht="28" customHeight="1">
      <c r="A13" s="4" t="inlineStr">
        <is>
          <t>안전·고위험 개선</t>
        </is>
      </c>
      <c r="B13" s="4" t="inlineStr">
        <is>
          <t>SF-01 위험도 6~9 개선 이행률</t>
        </is>
      </c>
      <c r="C13" s="5" t="n"/>
      <c r="D13" s="5" t="n"/>
      <c r="E13" s="5" t="n"/>
      <c r="F13" s="5" t="n"/>
      <c r="G13" s="5" t="n"/>
      <c r="H13" s="5" t="n"/>
    </row>
    <row r="14" ht="28" customHeight="1">
      <c r="A14" s="4" t="inlineStr">
        <is>
          <t>안전·교육</t>
        </is>
      </c>
      <c r="B14" s="4" t="inlineStr">
        <is>
          <t>법정교육 이수율 (SF-05)</t>
        </is>
      </c>
      <c r="C14" s="5" t="n"/>
      <c r="D14" s="5" t="n"/>
      <c r="E14" s="5" t="n"/>
      <c r="F14" s="5" t="n"/>
      <c r="G14" s="5" t="n"/>
      <c r="H14" s="5" t="n"/>
    </row>
    <row r="15" ht="31.65" customHeight="1">
      <c r="A15" s="4" t="inlineStr">
        <is>
          <t>환경·중요측면</t>
        </is>
      </c>
      <c r="B15" s="4" t="inlineStr">
        <is>
          <t>분리배출 이행·전력 사용량 등 (EF-01)</t>
        </is>
      </c>
      <c r="C15" s="5" t="n"/>
      <c r="D15" s="5" t="n"/>
      <c r="E15" s="5" t="n"/>
      <c r="F15" s="5" t="n"/>
      <c r="G15" s="5" t="n"/>
      <c r="H15" s="5" t="n"/>
    </row>
    <row r="16" ht="28" customHeight="1">
      <c r="A16" s="5" t="n"/>
      <c r="B16" s="5" t="n"/>
      <c r="C16" s="5" t="n"/>
      <c r="D16" s="5" t="n"/>
      <c r="E16" s="5" t="n"/>
      <c r="F16" s="5" t="n"/>
      <c r="G16" s="5" t="n"/>
      <c r="H16" s="5" t="n"/>
    </row>
    <row r="17" ht="28" customHeight="1">
      <c r="A17" s="5" t="n"/>
      <c r="B17" s="5" t="n"/>
      <c r="C17" s="5" t="n"/>
      <c r="D17" s="5" t="n"/>
      <c r="E17" s="5" t="n"/>
      <c r="F17" s="5" t="n"/>
      <c r="G17" s="5" t="n"/>
      <c r="H17" s="5" t="n"/>
    </row>
    <row r="18" ht="6" customHeight="1"/>
    <row r="19" ht="16" customHeight="1">
      <c r="A19" s="7" t="inlineStr">
        <is>
          <t>첨부·대체 기록 번호와 보관 경로 / 적용 제외(해당없음) 사유 / 미결 확인 :</t>
        </is>
      </c>
      <c r="B19" s="13" t="n"/>
      <c r="C19" s="13" t="n"/>
      <c r="D19" s="8" t="inlineStr">
        <is>
          <t>구분</t>
        </is>
      </c>
      <c r="E19" s="8" t="n"/>
      <c r="F19" s="8" t="inlineStr">
        <is>
          <t>작성</t>
        </is>
      </c>
      <c r="G19" s="8" t="inlineStr">
        <is>
          <t>검토</t>
        </is>
      </c>
      <c r="H19" s="8" t="inlineStr">
        <is>
          <t>승인</t>
        </is>
      </c>
    </row>
    <row r="20" ht="28" customHeight="1">
      <c r="A20" s="13" t="n"/>
      <c r="B20" s="13" t="n"/>
      <c r="C20" s="13" t="n"/>
      <c r="D20" s="9" t="inlineStr">
        <is>
          <t>성명·서명</t>
        </is>
      </c>
      <c r="E20" s="9" t="n"/>
      <c r="F20" s="10" t="n"/>
      <c r="G20" s="10" t="n"/>
      <c r="H20" s="10" t="n"/>
    </row>
    <row r="21" ht="16" customHeight="1">
      <c r="A21" s="13" t="n"/>
      <c r="B21" s="13" t="n"/>
      <c r="C21" s="13" t="n"/>
      <c r="D21" s="9" t="inlineStr">
        <is>
          <t>일자</t>
        </is>
      </c>
      <c r="E21" s="9" t="n"/>
      <c r="F21" s="10" t="n"/>
      <c r="G21" s="10" t="n"/>
      <c r="H21" s="10" t="n"/>
    </row>
  </sheetData>
  <mergeCells count="9">
    <mergeCell ref="D20:E20"/>
    <mergeCell ref="A3:H3"/>
    <mergeCell ref="A7:H7"/>
    <mergeCell ref="D19:E19"/>
    <mergeCell ref="A2:H2"/>
    <mergeCell ref="G5:H5"/>
    <mergeCell ref="B5:E5"/>
    <mergeCell ref="A19:C21"/>
    <mergeCell ref="D21:E21"/>
  </mergeCells>
  <printOptions horizontalCentered="1"/>
  <pageMargins left="0.45" right="0.45" top="0.5" bottom="0.55" header="0.25" footer="0.25"/>
  <pageSetup orientation="landscape" paperSize="9" fitToHeight="1" fitToWidth="1"/>
  <headerFooter>
    <oddHeader/>
    <oddFooter>&amp;C&amp;"Malgun Gothic"&amp;8 동인엔시스 | DI-MF-03 Rev.00 | 페이지 &amp;P / 전체 &amp;N</oddFooter>
    <evenHeader/>
    <evenFooter/>
    <firstHeader/>
    <firstFooter/>
  </headerFooter>
  <drawing xmlns:r="http://schemas.openxmlformats.org/officeDocument/2006/relationships" r:id="rId1"/>
</worksheet>
</file>

<file path=xl/worksheets/sheet36.xml><?xml version="1.0" encoding="utf-8"?>
<worksheet xmlns="http://schemas.openxmlformats.org/spreadsheetml/2006/main">
  <sheetPr>
    <outlinePr summaryBelow="1" summaryRight="1"/>
    <pageSetUpPr fitToPage="1"/>
  </sheetPr>
  <dimension ref="A2:G25"/>
  <sheetViews>
    <sheetView showGridLines="0" workbookViewId="0">
      <selection activeCell="A1" sqref="A1"/>
    </sheetView>
  </sheetViews>
  <sheetFormatPr baseColWidth="8" defaultRowHeight="15"/>
  <cols>
    <col width="15.9" customWidth="1" min="1" max="1"/>
    <col width="31.9" customWidth="1" min="2" max="2"/>
    <col width="18.2" customWidth="1" min="3" max="3"/>
    <col width="25" customWidth="1" min="4" max="4"/>
    <col width="14.8" customWidth="1" min="5" max="5"/>
    <col width="17.1" customWidth="1" min="6" max="6"/>
    <col width="17.1" customWidth="1" min="7" max="7"/>
  </cols>
  <sheetData>
    <row r="1" ht="22" customHeight="1"/>
    <row r="2" ht="28" customHeight="1">
      <c r="A2" s="1" t="inlineStr">
        <is>
          <t>조직상황 이해관계자 위험 및 기회</t>
        </is>
      </c>
      <c r="B2" s="1" t="n"/>
      <c r="C2" s="1" t="n"/>
      <c r="D2" s="1" t="n"/>
      <c r="E2" s="1" t="n"/>
      <c r="F2" s="1" t="n"/>
      <c r="G2" s="1" t="n"/>
    </row>
    <row r="3" ht="16" customHeight="1">
      <c r="A3" s="2" t="inlineStr">
        <is>
          <t>동인엔시스 | DI-MF-04 | Rev.00 | 제정 2026.10.01 | 시행 2026.10.01 (대표 승인)   ·   담당: 대표 / 품질·안전·환경 | 작성: 최초·연 1회·주요 변화 시</t>
        </is>
      </c>
      <c r="B3" s="2" t="n"/>
      <c r="C3" s="2" t="n"/>
      <c r="D3" s="2" t="n"/>
      <c r="E3" s="2" t="n"/>
      <c r="F3" s="2" t="n"/>
      <c r="G3" s="2" t="n"/>
    </row>
    <row r="4" ht="4" customHeight="1"/>
    <row r="5" ht="20" customHeight="1">
      <c r="A5" s="12" t="inlineStr">
        <is>
          <t>검토일</t>
        </is>
      </c>
      <c r="B5" s="10" t="n"/>
      <c r="C5" s="10" t="n"/>
      <c r="D5" s="12" t="inlineStr">
        <is>
          <t>검토자</t>
        </is>
      </c>
      <c r="E5" s="10" t="n"/>
      <c r="F5" s="10" t="n"/>
      <c r="G5" s="10" t="n"/>
    </row>
    <row r="6" ht="20" customHeight="1">
      <c r="A6" s="12" t="inlineStr">
        <is>
          <t>적용 범위</t>
        </is>
      </c>
      <c r="B6" s="10" t="n"/>
      <c r="C6" s="10" t="n"/>
      <c r="D6" s="10" t="n"/>
      <c r="E6" s="10" t="n"/>
      <c r="F6" s="10" t="n"/>
      <c r="G6" s="10" t="n"/>
    </row>
    <row r="7" ht="20" customHeight="1">
      <c r="A7" s="12" t="inlineStr">
        <is>
          <t>기후변화 관련 여부·판단 근거</t>
        </is>
      </c>
      <c r="B7" s="12" t="n"/>
      <c r="C7" s="10" t="n"/>
      <c r="D7" s="10" t="n"/>
      <c r="E7" s="10" t="n"/>
      <c r="F7" s="10" t="n"/>
      <c r="G7" s="10" t="n"/>
    </row>
    <row r="8" ht="5" customHeight="1"/>
    <row r="9" ht="14.15" customHeight="1">
      <c r="A9" s="2" t="inlineStr">
        <is>
          <t>외부·내부 이슈와 고객·근로자·공급자·감독기관 요구를 검토한다. 기후변화는 공급망·침수·폭염·에너지·현장 조건과의 관련 여부를 이유와 함께 판단한다(ISO 9001·14001·45001 Amd 1:2024).</t>
        </is>
      </c>
      <c r="B9" s="2" t="n"/>
      <c r="C9" s="2" t="n"/>
      <c r="D9" s="2" t="n"/>
      <c r="E9" s="2" t="n"/>
      <c r="F9" s="2" t="n"/>
      <c r="G9" s="2" t="n"/>
    </row>
    <row r="10" ht="5" customHeight="1"/>
    <row r="11" ht="26" customHeight="1">
      <c r="A11" s="3" t="inlineStr">
        <is>
          <t>구분·내용</t>
        </is>
      </c>
      <c r="B11" s="3" t="inlineStr">
        <is>
          <t>요구·영향·의무</t>
        </is>
      </c>
      <c r="C11" s="3" t="inlineStr">
        <is>
          <t>우선순위·근거</t>
        </is>
      </c>
      <c r="D11" s="3" t="inlineStr">
        <is>
          <t>대응·기회</t>
        </is>
      </c>
      <c r="E11" s="3" t="inlineStr">
        <is>
          <t>담당·기한</t>
        </is>
      </c>
      <c r="F11" s="3" t="inlineStr">
        <is>
          <t>실행증거</t>
        </is>
      </c>
      <c r="G11" s="3" t="inlineStr">
        <is>
          <t>효과·재검토</t>
        </is>
      </c>
    </row>
    <row r="12" ht="26" customHeight="1">
      <c r="A12" s="4" t="inlineStr">
        <is>
          <t>고객</t>
        </is>
      </c>
      <c r="B12" s="4" t="inlineStr">
        <is>
          <t>사양·납기·기록·안전·감사</t>
        </is>
      </c>
      <c r="C12" s="5" t="n"/>
      <c r="D12" s="5" t="n"/>
      <c r="E12" s="5" t="n"/>
      <c r="F12" s="5" t="n"/>
      <c r="G12" s="5" t="n"/>
    </row>
    <row r="13" ht="26" customHeight="1">
      <c r="A13" s="4" t="inlineStr">
        <is>
          <t>직원·비정규직</t>
        </is>
      </c>
      <c r="B13" s="4" t="inlineStr">
        <is>
          <t>안전·교육·참여</t>
        </is>
      </c>
      <c r="C13" s="5" t="n"/>
      <c r="D13" s="5" t="n"/>
      <c r="E13" s="5" t="n"/>
      <c r="F13" s="5" t="n"/>
      <c r="G13" s="5" t="n"/>
    </row>
    <row r="14" ht="26" customHeight="1">
      <c r="A14" s="4" t="inlineStr">
        <is>
          <t>외주·공급자</t>
        </is>
      </c>
      <c r="B14" s="4" t="inlineStr">
        <is>
          <t>도면·납기·안전 협업</t>
        </is>
      </c>
      <c r="C14" s="5" t="n"/>
      <c r="D14" s="5" t="n"/>
      <c r="E14" s="5" t="n"/>
      <c r="F14" s="5" t="n"/>
      <c r="G14" s="5" t="n"/>
    </row>
    <row r="15" ht="26" customHeight="1">
      <c r="A15" s="4" t="inlineStr">
        <is>
          <t>인증기관·감독기관</t>
        </is>
      </c>
      <c r="B15" s="4" t="inlineStr">
        <is>
          <t>규격·법규 적합, 심사 대응</t>
        </is>
      </c>
      <c r="C15" s="5" t="n"/>
      <c r="D15" s="5" t="n"/>
      <c r="E15" s="5" t="n"/>
      <c r="F15" s="5" t="n"/>
      <c r="G15" s="5" t="n"/>
    </row>
    <row r="16" ht="26" customHeight="1">
      <c r="A16" s="4" t="inlineStr">
        <is>
          <t>내부상황</t>
        </is>
      </c>
      <c r="B16" s="4" t="inlineStr">
        <is>
          <t>인원·역량·설비·버전관리</t>
        </is>
      </c>
      <c r="C16" s="5" t="n"/>
      <c r="D16" s="5" t="n"/>
      <c r="E16" s="5" t="n"/>
      <c r="F16" s="5" t="n"/>
      <c r="G16" s="5" t="n"/>
    </row>
    <row r="17" ht="26" customHeight="1">
      <c r="A17" s="4" t="inlineStr">
        <is>
          <t>외부상황</t>
        </is>
      </c>
      <c r="B17" s="4" t="inlineStr">
        <is>
          <t>법규·공급망·환경조건</t>
        </is>
      </c>
      <c r="C17" s="5" t="n"/>
      <c r="D17" s="5" t="n"/>
      <c r="E17" s="5" t="n"/>
      <c r="F17" s="5" t="n"/>
      <c r="G17" s="5" t="n"/>
    </row>
    <row r="18" ht="26" customHeight="1">
      <c r="A18" s="4" t="inlineStr">
        <is>
          <t>기후변화</t>
        </is>
      </c>
      <c r="B18" s="4" t="inlineStr">
        <is>
          <t>관련 여부·기대 요구·대응</t>
        </is>
      </c>
      <c r="C18" s="5" t="n"/>
      <c r="D18" s="5" t="n"/>
      <c r="E18" s="5" t="n"/>
      <c r="F18" s="5" t="n"/>
      <c r="G18" s="5" t="n"/>
    </row>
    <row r="19" ht="31.65" customHeight="1">
      <c r="A19" s="4" t="inlineStr">
        <is>
          <t>리스크 예시</t>
        </is>
      </c>
      <c r="B19" s="4" t="inlineStr">
        <is>
          <t>핵심 부품 납기 지연·외주 배선 품질·통전 사고·PLC 버전 혼선·일용직 숙련도</t>
        </is>
      </c>
      <c r="C19" s="5" t="n"/>
      <c r="D19" s="5" t="n"/>
      <c r="E19" s="5" t="n"/>
      <c r="F19" s="5" t="n"/>
      <c r="G19" s="5" t="n"/>
    </row>
    <row r="20" ht="26" customHeight="1">
      <c r="A20" s="4" t="inlineStr">
        <is>
          <t>기회 예시</t>
        </is>
      </c>
      <c r="B20" s="4" t="inlineStr">
        <is>
          <t>양식 통일·ERP 연계·에너지 절감 제어</t>
        </is>
      </c>
      <c r="C20" s="5" t="n"/>
      <c r="D20" s="5" t="n"/>
      <c r="E20" s="5" t="n"/>
      <c r="F20" s="5" t="n"/>
      <c r="G20" s="5" t="n"/>
    </row>
    <row r="21" ht="26" customHeight="1">
      <c r="A21" s="5" t="n"/>
      <c r="B21" s="5" t="n"/>
      <c r="C21" s="5" t="n"/>
      <c r="D21" s="5" t="n"/>
      <c r="E21" s="5" t="n"/>
      <c r="F21" s="5" t="n"/>
      <c r="G21" s="5" t="n"/>
    </row>
    <row r="22" ht="6" customHeight="1"/>
    <row r="23" ht="16" customHeight="1">
      <c r="A23" s="7" t="inlineStr">
        <is>
          <t>첨부·대체 기록 번호와 보관 경로 / 적용 제외(해당없음) 사유 / 미결 확인 :</t>
        </is>
      </c>
      <c r="B23" s="13" t="n"/>
      <c r="C23" s="13" t="n"/>
      <c r="D23" s="8" t="inlineStr">
        <is>
          <t>구분</t>
        </is>
      </c>
      <c r="E23" s="8" t="inlineStr">
        <is>
          <t>작성</t>
        </is>
      </c>
      <c r="F23" s="8" t="inlineStr">
        <is>
          <t>검토</t>
        </is>
      </c>
      <c r="G23" s="8" t="inlineStr">
        <is>
          <t>승인</t>
        </is>
      </c>
    </row>
    <row r="24" ht="28" customHeight="1">
      <c r="A24" s="13" t="n"/>
      <c r="B24" s="13" t="n"/>
      <c r="C24" s="13" t="n"/>
      <c r="D24" s="9" t="inlineStr">
        <is>
          <t>성명·서명</t>
        </is>
      </c>
      <c r="E24" s="10" t="n"/>
      <c r="F24" s="10" t="n"/>
      <c r="G24" s="10" t="n"/>
    </row>
    <row r="25" ht="16" customHeight="1">
      <c r="A25" s="13" t="n"/>
      <c r="B25" s="13" t="n"/>
      <c r="C25" s="13" t="n"/>
      <c r="D25" s="9" t="inlineStr">
        <is>
          <t>일자</t>
        </is>
      </c>
      <c r="E25" s="10" t="n"/>
      <c r="F25" s="10" t="n"/>
      <c r="G25" s="10" t="n"/>
    </row>
  </sheetData>
  <mergeCells count="9">
    <mergeCell ref="A23:C25"/>
    <mergeCell ref="C7:G7"/>
    <mergeCell ref="A7:B7"/>
    <mergeCell ref="A9:G9"/>
    <mergeCell ref="A3:G3"/>
    <mergeCell ref="B5:C5"/>
    <mergeCell ref="E5:G5"/>
    <mergeCell ref="A2:G2"/>
    <mergeCell ref="B6:G6"/>
  </mergeCells>
  <printOptions horizontalCentered="1"/>
  <pageMargins left="0.45" right="0.45" top="0.5" bottom="0.55" header="0.25" footer="0.25"/>
  <pageSetup orientation="landscape" paperSize="9" fitToHeight="1" fitToWidth="1"/>
  <headerFooter>
    <oddHeader/>
    <oddFooter>&amp;C&amp;"Malgun Gothic"&amp;8 동인엔시스 | DI-MF-04 Rev.00 | 페이지 &amp;P / 전체 &amp;N</oddFooter>
    <evenHeader/>
    <evenFooter/>
    <firstHeader/>
    <firstFooter/>
  </headerFooter>
  <drawing xmlns:r="http://schemas.openxmlformats.org/officeDocument/2006/relationships" r:id="rId1"/>
</worksheet>
</file>

<file path=xl/worksheets/sheet37.xml><?xml version="1.0" encoding="utf-8"?>
<worksheet xmlns="http://schemas.openxmlformats.org/spreadsheetml/2006/main">
  <sheetPr>
    <outlinePr summaryBelow="1" summaryRight="1"/>
    <pageSetUpPr fitToPage="1"/>
  </sheetPr>
  <dimension ref="A2:H56"/>
  <sheetViews>
    <sheetView showGridLines="0" workbookViewId="0">
      <pane ySplit="11" topLeftCell="A12" activePane="bottomLeft" state="frozen"/>
      <selection pane="bottomLeft" activeCell="A1" sqref="A1"/>
    </sheetView>
  </sheetViews>
  <sheetFormatPr baseColWidth="8" defaultRowHeight="15"/>
  <cols>
    <col width="24.4" customWidth="1" min="1" max="1"/>
    <col width="33.3" customWidth="1" min="2" max="2"/>
    <col width="15.6" customWidth="1" min="3" max="3"/>
    <col width="14.4" customWidth="1" min="4" max="4"/>
    <col width="10" customWidth="1" min="5" max="5"/>
    <col width="15.6" customWidth="1" min="6" max="6"/>
    <col width="11.1" customWidth="1" min="7" max="7"/>
    <col width="15.6" customWidth="1" min="8" max="8"/>
  </cols>
  <sheetData>
    <row r="1" ht="22" customHeight="1"/>
    <row r="2" ht="28" customHeight="1">
      <c r="A2" s="1" t="inlineStr">
        <is>
          <t>적용 표준 법규 및 기타 요구사항 준수평가</t>
        </is>
      </c>
      <c r="B2" s="1" t="n"/>
      <c r="C2" s="1" t="n"/>
      <c r="D2" s="1" t="n"/>
      <c r="E2" s="1" t="n"/>
      <c r="F2" s="1" t="n"/>
      <c r="G2" s="1" t="n"/>
      <c r="H2" s="1" t="n"/>
    </row>
    <row r="3" ht="26.3" customHeight="1">
      <c r="A3" s="2" t="inlineStr">
        <is>
          <t>동인엔시스 | DI-MF-05 | Rev.00 | 제정 2026.10.01 | 시행 2026.10.01 (대표 승인)   ·   담당: 왕리홍 대리·성문기 과장 / 품질 | 작성: 최초·변경 시·반기 최신성 확인 (SF-08 때)·연 1회 평가</t>
        </is>
      </c>
      <c r="B3" s="2" t="n"/>
      <c r="C3" s="2" t="n"/>
      <c r="D3" s="2" t="n"/>
      <c r="E3" s="2" t="n"/>
      <c r="F3" s="2" t="n"/>
      <c r="G3" s="2" t="n"/>
      <c r="H3" s="2" t="n"/>
    </row>
    <row r="4" ht="4" customHeight="1"/>
    <row r="5" ht="20" customHeight="1">
      <c r="A5" s="12" t="inlineStr">
        <is>
          <t>확인일</t>
        </is>
      </c>
      <c r="B5" s="10" t="n"/>
      <c r="C5" s="10" t="n"/>
      <c r="D5" s="12" t="inlineStr">
        <is>
          <t>평가자 / 검토자</t>
        </is>
      </c>
      <c r="E5" s="10" t="n"/>
      <c r="F5" s="10" t="n"/>
      <c r="G5" s="10" t="n"/>
      <c r="H5" s="10" t="n"/>
    </row>
    <row r="6" ht="20" customHeight="1">
      <c r="A6" s="12" t="inlineStr">
        <is>
          <t>대상 사업장·작업</t>
        </is>
      </c>
      <c r="B6" s="10" t="n"/>
      <c r="C6" s="10" t="n"/>
      <c r="D6" s="10" t="n"/>
      <c r="E6" s="10" t="n"/>
      <c r="F6" s="10" t="n"/>
      <c r="G6" s="10" t="n"/>
      <c r="H6" s="10" t="n"/>
    </row>
    <row r="7" ht="5" customHeight="1"/>
    <row r="8" ht="26.3" customHeight="1">
      <c r="A8" s="2" t="inlineStr">
        <is>
          <t>기재된 목록은 검토 대상이다. 확인되지 않은 의무를 준수로 표시하지 않는다. 법정주기가 사내주기보다 짧으면 법정주기를 적용한다. 2026판 발행과 현재 인증판본은 구분하여 전환 승인 후 문서를 갱신한다.</t>
        </is>
      </c>
      <c r="B8" s="2" t="n"/>
      <c r="C8" s="2" t="n"/>
      <c r="D8" s="2" t="n"/>
      <c r="E8" s="2" t="n"/>
      <c r="F8" s="2" t="n"/>
      <c r="G8" s="2" t="n"/>
      <c r="H8" s="2" t="n"/>
    </row>
    <row r="9" ht="14.15" customHeight="1">
      <c r="A9" s="2" t="inlineStr">
        <is>
          <t>담당: 안전 법규 왕리홍 대리 / 환경 법규 성문기 과장 / 인증·고객요구 품질. 조항은 국가법령정보센터(law.go.kr) 최신본으로 확인하고 확인일을 적는다.</t>
        </is>
      </c>
      <c r="B9" s="2" t="n"/>
      <c r="C9" s="2" t="n"/>
      <c r="D9" s="2" t="n"/>
      <c r="E9" s="2" t="n"/>
      <c r="F9" s="2" t="n"/>
      <c r="G9" s="2" t="n"/>
      <c r="H9" s="2" t="n"/>
    </row>
    <row r="10" ht="5" customHeight="1"/>
    <row r="11" ht="26" customHeight="1">
      <c r="A11" s="3" t="inlineStr">
        <is>
          <t>법규/표준·판본</t>
        </is>
      </c>
      <c r="B11" s="3" t="inlineStr">
        <is>
          <t>구체 의무·조항</t>
        </is>
      </c>
      <c r="C11" s="3" t="inlineStr">
        <is>
          <t>적용여부·근거</t>
        </is>
      </c>
      <c r="D11" s="3" t="inlineStr">
        <is>
          <t>평가기준·주기</t>
        </is>
      </c>
      <c r="E11" s="3" t="inlineStr">
        <is>
          <t>담당</t>
        </is>
      </c>
      <c r="F11" s="3" t="inlineStr">
        <is>
          <t>증거·확인일</t>
        </is>
      </c>
      <c r="G11" s="3" t="inlineStr">
        <is>
          <t>상태</t>
        </is>
      </c>
      <c r="H11" s="3" t="inlineStr">
        <is>
          <t>조치·재평가</t>
        </is>
      </c>
    </row>
    <row r="12" ht="31.65" customHeight="1">
      <c r="A12" s="4" t="inlineStr">
        <is>
          <t>ISO 9001·14001·45001 인증</t>
        </is>
      </c>
      <c r="B12" s="4" t="inlineStr">
        <is>
          <t>인증서 범위·판본·유효기간·2026판 전환 계획·Amd 1:2024(기후변화)</t>
        </is>
      </c>
      <c r="C12" s="5" t="n"/>
      <c r="D12" s="5" t="n"/>
      <c r="E12" s="5" t="n"/>
      <c r="F12" s="5" t="n"/>
      <c r="G12" s="6" t="n"/>
      <c r="H12" s="5" t="n"/>
    </row>
    <row r="13" ht="31.65" customHeight="1">
      <c r="A13" s="4" t="inlineStr">
        <is>
          <t>고객 요구 (현대터보기계)</t>
        </is>
      </c>
      <c r="B13" s="4" t="inlineStr">
        <is>
          <t>계약·품질요구·신규업체 평가표 판본·LOT/검사 기록</t>
        </is>
      </c>
      <c r="C13" s="5" t="n"/>
      <c r="D13" s="5" t="n"/>
      <c r="E13" s="5" t="n"/>
      <c r="F13" s="5" t="n"/>
      <c r="G13" s="6" t="n"/>
      <c r="H13" s="5" t="n"/>
    </row>
    <row r="14" ht="24" customHeight="1">
      <c r="A14" s="4" t="inlineStr">
        <is>
          <t>고객 요구 (아트라스콥코 등)</t>
        </is>
      </c>
      <c r="B14" s="4" t="inlineStr">
        <is>
          <t>계약·공급자 요구·현장 안전규정</t>
        </is>
      </c>
      <c r="C14" s="5" t="n"/>
      <c r="D14" s="5" t="n"/>
      <c r="E14" s="5" t="n"/>
      <c r="F14" s="5" t="n"/>
      <c r="G14" s="6" t="n"/>
      <c r="H14" s="5" t="n"/>
    </row>
    <row r="15" ht="31.65" customHeight="1">
      <c r="A15" s="4" t="inlineStr">
        <is>
          <t>산업안전보건법 제16조</t>
        </is>
      </c>
      <c r="B15" s="4" t="inlineStr">
        <is>
          <t>관리감독자 지정·업무 (작업 지휘자) — SF-04 반기 평가</t>
        </is>
      </c>
      <c r="C15" s="5" t="n"/>
      <c r="D15" s="5" t="n"/>
      <c r="E15" s="5" t="n"/>
      <c r="F15" s="5" t="n"/>
      <c r="G15" s="6" t="n"/>
      <c r="H15" s="5" t="n"/>
    </row>
    <row r="16" ht="31.65" customHeight="1">
      <c r="A16" s="4" t="inlineStr">
        <is>
          <t>산업안전보건법 제19조</t>
        </is>
      </c>
      <c r="B16" s="4" t="inlineStr">
        <is>
          <t>안전보건관리담당자 선임·증빙 (상시 20~49명 제조업)</t>
        </is>
      </c>
      <c r="C16" s="5" t="n"/>
      <c r="D16" s="5" t="n"/>
      <c r="E16" s="5" t="n"/>
      <c r="F16" s="5" t="n"/>
      <c r="G16" s="6" t="n"/>
      <c r="H16" s="5" t="n"/>
    </row>
    <row r="17" ht="31.65" customHeight="1">
      <c r="A17" s="4" t="inlineStr">
        <is>
          <t>산업안전보건법 제29조·제32조</t>
        </is>
      </c>
      <c r="B17" s="4" t="inlineStr">
        <is>
          <t>근로자 정기·채용·작업변경·특별교육 / 관리담당자 보수교육</t>
        </is>
      </c>
      <c r="C17" s="5" t="n"/>
      <c r="D17" s="5" t="n"/>
      <c r="E17" s="5" t="n"/>
      <c r="F17" s="5" t="n"/>
      <c r="G17" s="6" t="n"/>
      <c r="H17" s="5" t="n"/>
    </row>
    <row r="18" ht="31.65" customHeight="1">
      <c r="A18" s="4" t="inlineStr">
        <is>
          <t>산업안전보건법 제34조·제37조</t>
        </is>
      </c>
      <c r="B18" s="4" t="inlineStr">
        <is>
          <t>법령 요지 게시 / 안전보건표지</t>
        </is>
      </c>
      <c r="C18" s="5" t="n"/>
      <c r="D18" s="5" t="n"/>
      <c r="E18" s="5" t="n"/>
      <c r="F18" s="5" t="n"/>
      <c r="G18" s="6" t="n"/>
      <c r="H18" s="5" t="n"/>
    </row>
    <row r="19" ht="31.65" customHeight="1">
      <c r="A19" s="4" t="inlineStr">
        <is>
          <t>산업안전보건법 제36조</t>
        </is>
      </c>
      <c r="B19" s="4" t="inlineStr">
        <is>
          <t>위험성평가 실시·근로자 참여·결과 공유·기록 3년 보존</t>
        </is>
      </c>
      <c r="C19" s="5" t="n"/>
      <c r="D19" s="5" t="n"/>
      <c r="E19" s="5" t="n"/>
      <c r="F19" s="5" t="n"/>
      <c r="G19" s="6" t="n"/>
      <c r="H19" s="5" t="n"/>
    </row>
    <row r="20" ht="31.65" customHeight="1">
      <c r="A20" s="4" t="inlineStr">
        <is>
          <t>산업안전보건법 제38조, 안전보건규칙 전기작업</t>
        </is>
      </c>
      <c r="B20" s="4" t="inlineStr">
        <is>
          <t>정전전로·충전전로 작업 조치, 누전차단기·접지</t>
        </is>
      </c>
      <c r="C20" s="5" t="n"/>
      <c r="D20" s="5" t="n"/>
      <c r="E20" s="5" t="n"/>
      <c r="F20" s="5" t="n"/>
      <c r="G20" s="6" t="n"/>
      <c r="H20" s="5" t="n"/>
    </row>
    <row r="21" ht="31.65" customHeight="1">
      <c r="A21" s="4" t="inlineStr">
        <is>
          <t>산업안전보건법 제54조·제57조</t>
        </is>
      </c>
      <c r="B21" s="4" t="inlineStr">
        <is>
          <t>중대재해 보고 / 산업재해조사표 1개월 이내 제출·3년 보존</t>
        </is>
      </c>
      <c r="C21" s="5" t="n"/>
      <c r="D21" s="5" t="n"/>
      <c r="E21" s="5" t="n"/>
      <c r="F21" s="5" t="n"/>
      <c r="G21" s="6" t="n"/>
      <c r="H21" s="5" t="n"/>
    </row>
    <row r="22" ht="31.65" customHeight="1">
      <c r="A22" s="4" t="inlineStr">
        <is>
          <t>산업안전보건법 제63조·제64조</t>
        </is>
      </c>
      <c r="B22" s="4" t="inlineStr">
        <is>
          <t>도급인 안전조치, 수급인 작업 협의·순회점검</t>
        </is>
      </c>
      <c r="C22" s="5" t="n"/>
      <c r="D22" s="5" t="n"/>
      <c r="E22" s="5" t="n"/>
      <c r="F22" s="5" t="n"/>
      <c r="G22" s="6" t="n"/>
      <c r="H22" s="5" t="n"/>
    </row>
    <row r="23" ht="31.65" customHeight="1">
      <c r="A23" s="4" t="inlineStr">
        <is>
          <t>산업안전보건법 제93조 등</t>
        </is>
      </c>
      <c r="B23" s="4" t="inlineStr">
        <is>
          <t>크레인·호이스트 안전검사, 지게차 점검·운전자격</t>
        </is>
      </c>
      <c r="C23" s="5" t="n"/>
      <c r="D23" s="5" t="n"/>
      <c r="E23" s="5" t="n"/>
      <c r="F23" s="5" t="n"/>
      <c r="G23" s="6" t="n"/>
      <c r="H23" s="5" t="n"/>
    </row>
    <row r="24" ht="31.65" customHeight="1">
      <c r="A24" s="4" t="inlineStr">
        <is>
          <t>산업안전보건법 제114조</t>
        </is>
      </c>
      <c r="B24" s="4" t="inlineStr">
        <is>
          <t>MSDS 비치·게시·교육·경고표시 (세척제·도료 등)</t>
        </is>
      </c>
      <c r="C24" s="5" t="n"/>
      <c r="D24" s="5" t="n"/>
      <c r="E24" s="5" t="n"/>
      <c r="F24" s="5" t="n"/>
      <c r="G24" s="6" t="n"/>
      <c r="H24" s="5" t="n"/>
    </row>
    <row r="25" ht="31.65" customHeight="1">
      <c r="A25" s="4" t="inlineStr">
        <is>
          <t>산업안전보건법 제125조·제129조·제130조</t>
        </is>
      </c>
      <c r="B25" s="4" t="inlineStr">
        <is>
          <t>작업환경측정·일반/특수건강진단</t>
        </is>
      </c>
      <c r="C25" s="5" t="n"/>
      <c r="D25" s="5" t="n"/>
      <c r="E25" s="5" t="n"/>
      <c r="F25" s="5" t="n"/>
      <c r="G25" s="6" t="n"/>
      <c r="H25" s="5" t="n"/>
    </row>
    <row r="26" ht="31.65" customHeight="1">
      <c r="A26" s="4" t="inlineStr">
        <is>
          <t>산업안전보건법 제128조의2</t>
        </is>
      </c>
      <c r="B26" s="4" t="inlineStr">
        <is>
          <t>휴게시설 설치·관리기준 (상시 20명 이상) — SF-08 반기 확인</t>
        </is>
      </c>
      <c r="C26" s="5" t="n"/>
      <c r="D26" s="5" t="n"/>
      <c r="E26" s="5" t="n"/>
      <c r="F26" s="5" t="n"/>
      <c r="G26" s="6" t="n"/>
      <c r="H26" s="5" t="n"/>
    </row>
    <row r="27" ht="31.65" customHeight="1">
      <c r="A27" s="4" t="inlineStr">
        <is>
          <t>중대재해처벌법 제4조, 시행령 제4조·제5조</t>
        </is>
      </c>
      <c r="B27" s="4" t="inlineStr">
        <is>
          <t>안전보건관리체계 구축·반기 점검·대표 보고</t>
        </is>
      </c>
      <c r="C27" s="5" t="n"/>
      <c r="D27" s="5" t="n"/>
      <c r="E27" s="5" t="n"/>
      <c r="F27" s="5" t="n"/>
      <c r="G27" s="6" t="n"/>
      <c r="H27" s="5" t="n"/>
    </row>
    <row r="28" ht="31.65" customHeight="1">
      <c r="A28" s="4" t="inlineStr">
        <is>
          <t>폐기물관리법</t>
        </is>
      </c>
      <c r="B28" s="4" t="inlineStr">
        <is>
          <t>사업장폐기물 분리·보관·위탁처리·인계 증빙</t>
        </is>
      </c>
      <c r="C28" s="5" t="n"/>
      <c r="D28" s="5" t="n"/>
      <c r="E28" s="5" t="n"/>
      <c r="F28" s="5" t="n"/>
      <c r="G28" s="6" t="n"/>
      <c r="H28" s="5" t="n"/>
    </row>
    <row r="29" ht="24" customHeight="1">
      <c r="A29" s="4" t="inlineStr">
        <is>
          <t>화학물질 관계 법령</t>
        </is>
      </c>
      <c r="B29" s="4" t="inlineStr">
        <is>
          <t>취급물질 해당 여부·표시·보관</t>
        </is>
      </c>
      <c r="C29" s="5" t="n"/>
      <c r="D29" s="5" t="n"/>
      <c r="E29" s="5" t="n"/>
      <c r="F29" s="5" t="n"/>
      <c r="G29" s="6" t="n"/>
      <c r="H29" s="5" t="n"/>
    </row>
    <row r="30" ht="31.65" customHeight="1">
      <c r="A30" s="4" t="inlineStr">
        <is>
          <t>소방 관계 법령</t>
        </is>
      </c>
      <c r="B30" s="4" t="inlineStr">
        <is>
          <t>소화설비·자체점검·소방안전관리자 해당 여부</t>
        </is>
      </c>
      <c r="C30" s="5" t="n"/>
      <c r="D30" s="5" t="n"/>
      <c r="E30" s="5" t="n"/>
      <c r="F30" s="5" t="n"/>
      <c r="G30" s="6" t="n"/>
      <c r="H30" s="5" t="n"/>
    </row>
    <row r="31" ht="31.65" customHeight="1">
      <c r="A31" s="4" t="inlineStr">
        <is>
          <t>전기안전관리법</t>
        </is>
      </c>
      <c r="B31" s="4" t="inlineStr">
        <is>
          <t>자가용 전기설비 전기안전관리자 선임(대행) 해당 여부</t>
        </is>
      </c>
      <c r="C31" s="5" t="n"/>
      <c r="D31" s="5" t="n"/>
      <c r="E31" s="5" t="n"/>
      <c r="F31" s="5" t="n"/>
      <c r="G31" s="6" t="n"/>
      <c r="H31" s="5" t="n"/>
    </row>
    <row r="32" ht="31.65" customHeight="1">
      <c r="A32" s="4" t="inlineStr">
        <is>
          <t>대기환경보전법</t>
        </is>
      </c>
      <c r="B32" s="4" t="inlineStr">
        <is>
          <t>도장·용접 등 배출시설 해당 여부 (외주 시 해당없음 근거)</t>
        </is>
      </c>
      <c r="C32" s="5" t="n"/>
      <c r="D32" s="5" t="n"/>
      <c r="E32" s="5" t="n"/>
      <c r="F32" s="5" t="n"/>
      <c r="G32" s="6" t="n"/>
      <c r="H32" s="5" t="n"/>
    </row>
    <row r="33" ht="31.65" customHeight="1">
      <c r="A33" s="4" t="inlineStr">
        <is>
          <t>남녀고용평등법 제13조 · 장애인고용촉진법 제5조의2</t>
        </is>
      </c>
      <c r="B33" s="4" t="inlineStr">
        <is>
          <t>성희롱 예방교육·장애인 인식개선 교육 연 1회 (SF-05)</t>
        </is>
      </c>
      <c r="C33" s="5" t="n"/>
      <c r="D33" s="5" t="n"/>
      <c r="E33" s="5" t="n"/>
      <c r="F33" s="5" t="n"/>
      <c r="G33" s="6" t="n"/>
      <c r="H33" s="5" t="n"/>
    </row>
    <row r="34" ht="44.475" customHeight="1">
      <c r="A34" s="4" t="inlineStr">
        <is>
          <t>인원 기준 변동 (상시 30명·50명)</t>
        </is>
      </c>
      <c r="B34" s="4" t="inlineStr">
        <is>
          <t>30명 이상 노사협의회 / 50명 이상 안전보건관리책임자·안전·보건관리자·산업안전보건위원회 — 인원 변동 시 재확인</t>
        </is>
      </c>
      <c r="C34" s="5" t="n"/>
      <c r="D34" s="5" t="n"/>
      <c r="E34" s="5" t="n"/>
      <c r="F34" s="5" t="n"/>
      <c r="G34" s="6" t="n"/>
      <c r="H34" s="5" t="n"/>
    </row>
    <row r="35" ht="24" customHeight="1">
      <c r="A35" s="5" t="n"/>
      <c r="B35" s="5" t="n"/>
      <c r="C35" s="5" t="n"/>
      <c r="D35" s="5" t="n"/>
      <c r="E35" s="5" t="n"/>
      <c r="F35" s="5" t="n"/>
      <c r="G35" s="6" t="n"/>
      <c r="H35" s="5" t="n"/>
    </row>
    <row r="36" ht="24" customHeight="1">
      <c r="A36" s="5" t="n"/>
      <c r="B36" s="5" t="n"/>
      <c r="C36" s="5" t="n"/>
      <c r="D36" s="5" t="n"/>
      <c r="E36" s="5" t="n"/>
      <c r="F36" s="5" t="n"/>
      <c r="G36" s="6" t="n"/>
      <c r="H36" s="5" t="n"/>
    </row>
    <row r="37" ht="24" customHeight="1">
      <c r="A37" s="5" t="n"/>
      <c r="B37" s="5" t="n"/>
      <c r="C37" s="5" t="n"/>
      <c r="D37" s="5" t="n"/>
      <c r="E37" s="5" t="n"/>
      <c r="F37" s="5" t="n"/>
      <c r="G37" s="6" t="n"/>
      <c r="H37" s="5" t="n"/>
    </row>
    <row r="38" ht="24" customHeight="1">
      <c r="A38" s="5" t="n"/>
      <c r="B38" s="5" t="n"/>
      <c r="C38" s="5" t="n"/>
      <c r="D38" s="5" t="n"/>
      <c r="E38" s="5" t="n"/>
      <c r="F38" s="5" t="n"/>
      <c r="G38" s="6" t="n"/>
      <c r="H38" s="5" t="n"/>
    </row>
    <row r="39" ht="24" customHeight="1">
      <c r="A39" s="5" t="n"/>
      <c r="B39" s="5" t="n"/>
      <c r="C39" s="5" t="n"/>
      <c r="D39" s="5" t="n"/>
      <c r="E39" s="5" t="n"/>
      <c r="F39" s="5" t="n"/>
      <c r="G39" s="6" t="n"/>
      <c r="H39" s="5" t="n"/>
    </row>
    <row r="40" ht="24" customHeight="1">
      <c r="A40" s="5" t="n"/>
      <c r="B40" s="5" t="n"/>
      <c r="C40" s="5" t="n"/>
      <c r="D40" s="5" t="n"/>
      <c r="E40" s="5" t="n"/>
      <c r="F40" s="5" t="n"/>
      <c r="G40" s="6" t="n"/>
      <c r="H40" s="5" t="n"/>
    </row>
    <row r="41" ht="24" customHeight="1">
      <c r="A41" s="5" t="n"/>
      <c r="B41" s="5" t="n"/>
      <c r="C41" s="5" t="n"/>
      <c r="D41" s="5" t="n"/>
      <c r="E41" s="5" t="n"/>
      <c r="F41" s="5" t="n"/>
      <c r="G41" s="6" t="n"/>
      <c r="H41" s="5" t="n"/>
    </row>
    <row r="42" ht="24" customHeight="1">
      <c r="A42" s="5" t="n"/>
      <c r="B42" s="5" t="n"/>
      <c r="C42" s="5" t="n"/>
      <c r="D42" s="5" t="n"/>
      <c r="E42" s="5" t="n"/>
      <c r="F42" s="5" t="n"/>
      <c r="G42" s="6" t="n"/>
      <c r="H42" s="5" t="n"/>
    </row>
    <row r="43" ht="24" customHeight="1">
      <c r="A43" s="5" t="n"/>
      <c r="B43" s="5" t="n"/>
      <c r="C43" s="5" t="n"/>
      <c r="D43" s="5" t="n"/>
      <c r="E43" s="5" t="n"/>
      <c r="F43" s="5" t="n"/>
      <c r="G43" s="6" t="n"/>
      <c r="H43" s="5" t="n"/>
    </row>
    <row r="44" ht="24" customHeight="1">
      <c r="A44" s="5" t="n"/>
      <c r="B44" s="5" t="n"/>
      <c r="C44" s="5" t="n"/>
      <c r="D44" s="5" t="n"/>
      <c r="E44" s="5" t="n"/>
      <c r="F44" s="5" t="n"/>
      <c r="G44" s="6" t="n"/>
      <c r="H44" s="5" t="n"/>
    </row>
    <row r="45" ht="24" customHeight="1">
      <c r="A45" s="5" t="n"/>
      <c r="B45" s="5" t="n"/>
      <c r="C45" s="5" t="n"/>
      <c r="D45" s="5" t="n"/>
      <c r="E45" s="5" t="n"/>
      <c r="F45" s="5" t="n"/>
      <c r="G45" s="6" t="n"/>
      <c r="H45" s="5" t="n"/>
    </row>
    <row r="46" ht="24" customHeight="1">
      <c r="A46" s="5" t="n"/>
      <c r="B46" s="5" t="n"/>
      <c r="C46" s="5" t="n"/>
      <c r="D46" s="5" t="n"/>
      <c r="E46" s="5" t="n"/>
      <c r="F46" s="5" t="n"/>
      <c r="G46" s="6" t="n"/>
      <c r="H46" s="5" t="n"/>
    </row>
    <row r="47" ht="24" customHeight="1">
      <c r="A47" s="5" t="n"/>
      <c r="B47" s="5" t="n"/>
      <c r="C47" s="5" t="n"/>
      <c r="D47" s="5" t="n"/>
      <c r="E47" s="5" t="n"/>
      <c r="F47" s="5" t="n"/>
      <c r="G47" s="6" t="n"/>
      <c r="H47" s="5" t="n"/>
    </row>
    <row r="48" ht="24" customHeight="1">
      <c r="A48" s="5" t="n"/>
      <c r="B48" s="5" t="n"/>
      <c r="C48" s="5" t="n"/>
      <c r="D48" s="5" t="n"/>
      <c r="E48" s="5" t="n"/>
      <c r="F48" s="5" t="n"/>
      <c r="G48" s="6" t="n"/>
      <c r="H48" s="5" t="n"/>
    </row>
    <row r="49" ht="24" customHeight="1">
      <c r="A49" s="5" t="n"/>
      <c r="B49" s="5" t="n"/>
      <c r="C49" s="5" t="n"/>
      <c r="D49" s="5" t="n"/>
      <c r="E49" s="5" t="n"/>
      <c r="F49" s="5" t="n"/>
      <c r="G49" s="6" t="n"/>
      <c r="H49" s="5" t="n"/>
    </row>
    <row r="50" ht="24" customHeight="1">
      <c r="A50" s="5" t="n"/>
      <c r="B50" s="5" t="n"/>
      <c r="C50" s="5" t="n"/>
      <c r="D50" s="5" t="n"/>
      <c r="E50" s="5" t="n"/>
      <c r="F50" s="5" t="n"/>
      <c r="G50" s="6" t="n"/>
      <c r="H50" s="5" t="n"/>
    </row>
    <row r="51" ht="24" customHeight="1">
      <c r="A51" s="5" t="n"/>
      <c r="B51" s="5" t="n"/>
      <c r="C51" s="5" t="n"/>
      <c r="D51" s="5" t="n"/>
      <c r="E51" s="5" t="n"/>
      <c r="F51" s="5" t="n"/>
      <c r="G51" s="6" t="n"/>
      <c r="H51" s="5" t="n"/>
    </row>
    <row r="52" ht="24" customHeight="1">
      <c r="A52" s="5" t="n"/>
      <c r="B52" s="5" t="n"/>
      <c r="C52" s="5" t="n"/>
      <c r="D52" s="5" t="n"/>
      <c r="E52" s="5" t="n"/>
      <c r="F52" s="5" t="n"/>
      <c r="G52" s="6" t="n"/>
      <c r="H52" s="5" t="n"/>
    </row>
    <row r="53" ht="6" customHeight="1"/>
    <row r="54" ht="16" customHeight="1">
      <c r="A54" s="7" t="inlineStr">
        <is>
          <t>첨부·대체 기록 번호와 보관 경로 / 적용 제외(해당없음) 사유 / 미결 확인 :</t>
        </is>
      </c>
      <c r="B54" s="13" t="n"/>
      <c r="C54" s="13" t="n"/>
      <c r="D54" s="13" t="n"/>
      <c r="E54" s="8" t="inlineStr">
        <is>
          <t>구분</t>
        </is>
      </c>
      <c r="F54" s="8" t="inlineStr">
        <is>
          <t>작성</t>
        </is>
      </c>
      <c r="G54" s="8" t="inlineStr">
        <is>
          <t>검토</t>
        </is>
      </c>
      <c r="H54" s="8" t="inlineStr">
        <is>
          <t>승인</t>
        </is>
      </c>
    </row>
    <row r="55" ht="28" customHeight="1">
      <c r="A55" s="13" t="n"/>
      <c r="B55" s="13" t="n"/>
      <c r="C55" s="13" t="n"/>
      <c r="D55" s="13" t="n"/>
      <c r="E55" s="9" t="inlineStr">
        <is>
          <t>성명·서명</t>
        </is>
      </c>
      <c r="F55" s="10" t="n"/>
      <c r="G55" s="10" t="n"/>
      <c r="H55" s="10" t="n"/>
    </row>
    <row r="56" ht="16" customHeight="1">
      <c r="A56" s="13" t="n"/>
      <c r="B56" s="13" t="n"/>
      <c r="C56" s="13" t="n"/>
      <c r="D56" s="13" t="n"/>
      <c r="E56" s="9" t="inlineStr">
        <is>
          <t>일자</t>
        </is>
      </c>
      <c r="F56" s="10" t="n"/>
      <c r="G56" s="10" t="n"/>
      <c r="H56" s="10" t="n"/>
    </row>
  </sheetData>
  <mergeCells count="8">
    <mergeCell ref="A9:H9"/>
    <mergeCell ref="A3:H3"/>
    <mergeCell ref="B5:C5"/>
    <mergeCell ref="A2:H2"/>
    <mergeCell ref="B6:H6"/>
    <mergeCell ref="A54:D56"/>
    <mergeCell ref="A8:H8"/>
    <mergeCell ref="E5:H5"/>
  </mergeCells>
  <conditionalFormatting sqref="G12:G52">
    <cfRule type="expression" priority="1" dxfId="0">
      <formula>OR(G12="불합격",G12="보류",G12="부적합",G12="미흡",G12="미준수",G12="미확인",G12="실패",G12="사용금지",G12="중지·개선",G12="재교육·동행",G12="C 발주중지",G12="중요")</formula>
    </cfRule>
  </conditionalFormatting>
  <dataValidations count="1">
    <dataValidation sqref="G12:G52" showDropDown="0" showInputMessage="0" showErrorMessage="0" allowBlank="1" error="목록에서 고르십시오: 준수, 미준수, 미확인, 해당없음" type="list" errorStyle="warning">
      <formula1>"준수,미준수,미확인,해당없음"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DI-MF-05 Rev.00 | 페이지 &amp;P / 전체 &amp;N</oddFooter>
    <evenHeader/>
    <evenFooter/>
    <firstHeader/>
    <firstFooter/>
  </headerFooter>
  <drawing xmlns:r="http://schemas.openxmlformats.org/officeDocument/2006/relationships" r:id="rId1"/>
</worksheet>
</file>

<file path=xl/worksheets/sheet38.xml><?xml version="1.0" encoding="utf-8"?>
<worksheet xmlns="http://schemas.openxmlformats.org/spreadsheetml/2006/main">
  <sheetPr>
    <outlinePr summaryBelow="1" summaryRight="1"/>
    <pageSetUpPr fitToPage="1"/>
  </sheetPr>
  <dimension ref="A2:F26"/>
  <sheetViews>
    <sheetView showGridLines="0" workbookViewId="0">
      <selection activeCell="A1" sqref="A1"/>
    </sheetView>
  </sheetViews>
  <sheetFormatPr baseColWidth="8" defaultRowHeight="15"/>
  <cols>
    <col width="34.1" customWidth="1" min="1" max="1"/>
    <col width="31.9" customWidth="1" min="2" max="2"/>
    <col width="13.7" customWidth="1" min="3" max="3"/>
    <col width="12.5" customWidth="1" min="4" max="4"/>
    <col width="22.8" customWidth="1" min="5" max="5"/>
    <col width="25" customWidth="1" min="6" max="6"/>
  </cols>
  <sheetData>
    <row r="1" ht="22" customHeight="1"/>
    <row r="2" ht="28" customHeight="1">
      <c r="A2" s="1" t="inlineStr">
        <is>
          <t>근로자 협의 및 비상훈련 기록</t>
        </is>
      </c>
      <c r="B2" s="1" t="n"/>
      <c r="C2" s="1" t="n"/>
      <c r="D2" s="1" t="n"/>
      <c r="E2" s="1" t="n"/>
      <c r="F2" s="1" t="n"/>
    </row>
    <row r="3" ht="16" customHeight="1">
      <c r="A3" s="2" t="inlineStr">
        <is>
          <t>동인엔시스 | DI-MF-06 | Rev.00 | 제정 2026.10.01 | 시행 2026.10.01 (대표 승인)   ·   담당: 안전·환경 담당 | 작성: 분기 1회 협의 / 연 1회 훈련 / 변경·실제 비상 후</t>
        </is>
      </c>
      <c r="B3" s="2" t="n"/>
      <c r="C3" s="2" t="n"/>
      <c r="D3" s="2" t="n"/>
      <c r="E3" s="2" t="n"/>
      <c r="F3" s="2" t="n"/>
    </row>
    <row r="4" ht="4" customHeight="1"/>
    <row r="5" ht="20" customHeight="1">
      <c r="A5" s="12" t="inlineStr">
        <is>
          <t>구분</t>
        </is>
      </c>
      <c r="B5" s="10" t="n"/>
      <c r="C5" s="12" t="inlineStr">
        <is>
          <t>일자·장소</t>
        </is>
      </c>
      <c r="D5" s="10" t="n"/>
      <c r="E5" s="10" t="n"/>
      <c r="F5" s="10" t="n"/>
    </row>
    <row r="6" ht="20" customHeight="1">
      <c r="A6" s="12" t="inlineStr">
        <is>
          <t>진행자</t>
        </is>
      </c>
      <c r="B6" s="10" t="n"/>
      <c r="C6" s="12" t="inlineStr">
        <is>
          <t>참석 인원 (비정규직 포함)</t>
        </is>
      </c>
      <c r="D6" s="12" t="n"/>
      <c r="E6" s="10" t="n"/>
      <c r="F6" s="10" t="n"/>
    </row>
    <row r="7" ht="20" customHeight="1">
      <c r="A7" s="12" t="inlineStr">
        <is>
          <t>협의 안건 또는 훈련 시나리오·목표</t>
        </is>
      </c>
      <c r="B7" s="10" t="n"/>
      <c r="C7" s="10" t="n"/>
      <c r="D7" s="10" t="n"/>
      <c r="E7" s="10" t="n"/>
      <c r="F7" s="10" t="n"/>
    </row>
    <row r="8" ht="28.3" customHeight="1">
      <c r="A8" s="12" t="inlineStr">
        <is>
          <t>근로자 의견·참여 장벽·익명 의견 / 훈련 수행·소요시간</t>
        </is>
      </c>
      <c r="B8" s="10" t="n"/>
      <c r="C8" s="10" t="n"/>
      <c r="D8" s="10" t="n"/>
      <c r="E8" s="10" t="n"/>
      <c r="F8" s="10" t="n"/>
    </row>
    <row r="9" ht="20" customHeight="1">
      <c r="A9" s="12" t="inlineStr">
        <is>
          <t>평가자</t>
        </is>
      </c>
      <c r="B9" s="10" t="n"/>
      <c r="C9" s="12" t="inlineStr">
        <is>
          <t>공유 대상·일자·증거</t>
        </is>
      </c>
      <c r="D9" s="12" t="n"/>
      <c r="E9" s="10" t="n"/>
      <c r="F9" s="10" t="n"/>
    </row>
    <row r="10" ht="5" customHeight="1"/>
    <row r="11" ht="26.3" customHeight="1">
      <c r="A11" s="2" t="inlineStr">
        <is>
          <t>협의는 분기 1회(3·6·9·12월) 기존 회의에 안전 안건으로 넣어도 된다. 근로자는 그 밖에도 언제든 의견을 낼 수 있다. 기존 회의록이 이 필드를 모두 포함하면 대체 가능하다. 화재·감전·누출 등 실제 위험에 맞는 시나리오로 신고·대피·전원차단·응급연락을 연습하며 결과로 계획을 수정한다. 참석 서명은 QF-12 서명란 또는 기존 서명부를 첨부한다.</t>
        </is>
      </c>
      <c r="B11" s="2" t="n"/>
      <c r="C11" s="2" t="n"/>
      <c r="D11" s="2" t="n"/>
      <c r="E11" s="2" t="n"/>
      <c r="F11" s="2" t="n"/>
    </row>
    <row r="12" ht="5" customHeight="1"/>
    <row r="13" ht="26" customHeight="1">
      <c r="A13" s="3" t="inlineStr">
        <is>
          <t>의견·문제·훈련평가</t>
        </is>
      </c>
      <c r="B13" s="3" t="inlineStr">
        <is>
          <t>개선조치</t>
        </is>
      </c>
      <c r="C13" s="3" t="inlineStr">
        <is>
          <t>담당</t>
        </is>
      </c>
      <c r="D13" s="3" t="inlineStr">
        <is>
          <t>기한</t>
        </is>
      </c>
      <c r="E13" s="3" t="inlineStr">
        <is>
          <t>완료·증거</t>
        </is>
      </c>
      <c r="F13" s="3" t="inlineStr">
        <is>
          <t>효과 확인·공유</t>
        </is>
      </c>
    </row>
    <row r="14" ht="26" customHeight="1">
      <c r="A14" s="5" t="n"/>
      <c r="B14" s="5" t="n"/>
      <c r="C14" s="5" t="n"/>
      <c r="D14" s="5" t="n"/>
      <c r="E14" s="5" t="n"/>
      <c r="F14" s="5" t="n"/>
    </row>
    <row r="15" ht="26" customHeight="1">
      <c r="A15" s="5" t="n"/>
      <c r="B15" s="5" t="n"/>
      <c r="C15" s="5" t="n"/>
      <c r="D15" s="5" t="n"/>
      <c r="E15" s="5" t="n"/>
      <c r="F15" s="5" t="n"/>
    </row>
    <row r="16" ht="26" customHeight="1">
      <c r="A16" s="5" t="n"/>
      <c r="B16" s="5" t="n"/>
      <c r="C16" s="5" t="n"/>
      <c r="D16" s="5" t="n"/>
      <c r="E16" s="5" t="n"/>
      <c r="F16" s="5" t="n"/>
    </row>
    <row r="17" ht="26" customHeight="1">
      <c r="A17" s="5" t="n"/>
      <c r="B17" s="5" t="n"/>
      <c r="C17" s="5" t="n"/>
      <c r="D17" s="5" t="n"/>
      <c r="E17" s="5" t="n"/>
      <c r="F17" s="5" t="n"/>
    </row>
    <row r="18" ht="26" customHeight="1">
      <c r="A18" s="5" t="n"/>
      <c r="B18" s="5" t="n"/>
      <c r="C18" s="5" t="n"/>
      <c r="D18" s="5" t="n"/>
      <c r="E18" s="5" t="n"/>
      <c r="F18" s="5" t="n"/>
    </row>
    <row r="19" ht="26" customHeight="1">
      <c r="A19" s="5" t="n"/>
      <c r="B19" s="5" t="n"/>
      <c r="C19" s="5" t="n"/>
      <c r="D19" s="5" t="n"/>
      <c r="E19" s="5" t="n"/>
      <c r="F19" s="5" t="n"/>
    </row>
    <row r="20" ht="26" customHeight="1">
      <c r="A20" s="5" t="n"/>
      <c r="B20" s="5" t="n"/>
      <c r="C20" s="5" t="n"/>
      <c r="D20" s="5" t="n"/>
      <c r="E20" s="5" t="n"/>
      <c r="F20" s="5" t="n"/>
    </row>
    <row r="21" ht="26" customHeight="1">
      <c r="A21" s="5" t="n"/>
      <c r="B21" s="5" t="n"/>
      <c r="C21" s="5" t="n"/>
      <c r="D21" s="5" t="n"/>
      <c r="E21" s="5" t="n"/>
      <c r="F21" s="5" t="n"/>
    </row>
    <row r="22" ht="26" customHeight="1">
      <c r="A22" s="5" t="n"/>
      <c r="B22" s="5" t="n"/>
      <c r="C22" s="5" t="n"/>
      <c r="D22" s="5" t="n"/>
      <c r="E22" s="5" t="n"/>
      <c r="F22" s="5" t="n"/>
    </row>
    <row r="23" ht="6" customHeight="1"/>
    <row r="24" ht="16" customHeight="1">
      <c r="A24" s="7" t="inlineStr">
        <is>
          <t>첨부·대체 기록 번호와 보관 경로 / 적용 제외(해당없음) 사유 / 미결 확인 :</t>
        </is>
      </c>
      <c r="B24" s="13" t="n"/>
      <c r="C24" s="8" t="inlineStr">
        <is>
          <t>구분</t>
        </is>
      </c>
      <c r="D24" s="8" t="inlineStr">
        <is>
          <t>작성</t>
        </is>
      </c>
      <c r="E24" s="8" t="inlineStr">
        <is>
          <t>검토</t>
        </is>
      </c>
      <c r="F24" s="8" t="inlineStr">
        <is>
          <t>승인</t>
        </is>
      </c>
    </row>
    <row r="25" ht="28" customHeight="1">
      <c r="A25" s="13" t="n"/>
      <c r="B25" s="13" t="n"/>
      <c r="C25" s="9" t="inlineStr">
        <is>
          <t>성명·서명</t>
        </is>
      </c>
      <c r="D25" s="10" t="n"/>
      <c r="E25" s="10" t="n"/>
      <c r="F25" s="10" t="n"/>
    </row>
    <row r="26" ht="16" customHeight="1">
      <c r="A26" s="13" t="n"/>
      <c r="B26" s="13" t="n"/>
      <c r="C26" s="9" t="inlineStr">
        <is>
          <t>일자</t>
        </is>
      </c>
      <c r="D26" s="10" t="n"/>
      <c r="E26" s="10" t="n"/>
      <c r="F26" s="10" t="n"/>
    </row>
  </sheetData>
  <mergeCells count="11">
    <mergeCell ref="A2:F2"/>
    <mergeCell ref="A11:F11"/>
    <mergeCell ref="E6:F6"/>
    <mergeCell ref="C6:D6"/>
    <mergeCell ref="B7:F7"/>
    <mergeCell ref="D5:F5"/>
    <mergeCell ref="A24:B26"/>
    <mergeCell ref="C9:D9"/>
    <mergeCell ref="B8:F8"/>
    <mergeCell ref="A3:F3"/>
    <mergeCell ref="E9:F9"/>
  </mergeCells>
  <dataValidations count="1">
    <dataValidation sqref="B5" showDropDown="0" showInputMessage="0" showErrorMessage="0" allowBlank="1" error="목록에서 고르십시오: 분기 협의, 비상훈련, 실제 비상 대응 검토" type="list" errorStyle="warning">
      <formula1>"분기 협의,비상훈련,실제 비상 대응 검토"</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DI-MF-06 Rev.00 | 페이지 &amp;P / 전체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동인엔시스</dc:creator>
  <dc:title xmlns:dc="http://purl.org/dc/elements/1.1/">통합 기록양식집 DI-IMS-F-01 Rev.00</dc:title>
  <dcterms:created xmlns:dcterms="http://purl.org/dc/terms/" xmlns:xsi="http://www.w3.org/2001/XMLSchema-instance" xsi:type="dcterms:W3CDTF">2026-10-12T00:20:07Z</dcterms:created>
  <dcterms:modified xmlns:dcterms="http://purl.org/dc/terms/" xmlns:xsi="http://www.w3.org/2001/XMLSchema-instance" xsi:type="dcterms:W3CDTF">2026-10-12T00:20:08Z</dcterms:modified>
</cp:coreProperties>
</file>